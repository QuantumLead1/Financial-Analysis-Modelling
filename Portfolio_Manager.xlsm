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fb814ec6f295bc/Masaüstü/"/>
    </mc:Choice>
  </mc:AlternateContent>
  <xr:revisionPtr revIDLastSave="65216" documentId="14_{2CAB8048-F2B4-44E0-9EB7-246217C0C8FF}" xr6:coauthVersionLast="47" xr6:coauthVersionMax="47" xr10:uidLastSave="{3FB792F1-EF1A-40AB-BE84-63F73708E801}"/>
  <bookViews>
    <workbookView xWindow="-110" yWindow="-110" windowWidth="19420" windowHeight="11500" activeTab="2" xr2:uid="{3376F0FE-0D74-49E6-9C22-45393B1FAA14}"/>
  </bookViews>
  <sheets>
    <sheet name="returns" sheetId="7" r:id="rId1"/>
    <sheet name="Stock Infos" sheetId="1" r:id="rId2"/>
    <sheet name="Correlation Matrix" sheetId="2" r:id="rId3"/>
    <sheet name="COv" sheetId="4" r:id="rId4"/>
    <sheet name="Portfolio Info" sheetId="5" r:id="rId5"/>
    <sheet name="Budget" sheetId="6" r:id="rId6"/>
  </sheets>
  <definedNames>
    <definedName name="No_Stock">'Stock Infos'!$B$1</definedName>
    <definedName name="solver_adj" localSheetId="4" hidden="1">'Portfolio Info'!$B$1:$C$1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'Portfolio Info'!$XFD$1</definedName>
    <definedName name="solver_lhs2" localSheetId="4" hidden="1">'Portfolio Info'!$XFD$1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1</definedName>
    <definedName name="solver_nwt" localSheetId="4" hidden="1">1</definedName>
    <definedName name="solver_opt" localSheetId="4" hidden="1">'Portfolio Info'!$C$9</definedName>
    <definedName name="solver_pre" localSheetId="4" hidden="1">0.000001</definedName>
    <definedName name="solver_rbv" localSheetId="4" hidden="1">2</definedName>
    <definedName name="solver_rel1" localSheetId="4" hidden="1">2</definedName>
    <definedName name="solver_rel2" localSheetId="4" hidden="1">2</definedName>
    <definedName name="solver_rhs1" localSheetId="4" hidden="1">1</definedName>
    <definedName name="solver_rhs2" localSheetId="4" hidden="1">1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4" i="4"/>
  <c r="C3" i="6" a="1"/>
  <c r="C3" i="6" s="1"/>
  <c r="B3" i="6" a="1"/>
  <c r="B3" i="6" s="1"/>
  <c r="XFD1" i="5"/>
  <c r="C2" i="5" a="1"/>
  <c r="C2" i="5" s="1"/>
  <c r="A4" i="4" a="1"/>
  <c r="A4" i="4" s="1"/>
  <c r="B3" i="4" a="1"/>
  <c r="B3" i="4" s="1"/>
  <c r="A4" i="2" a="1"/>
  <c r="A4" i="2" s="1"/>
  <c r="B3" i="2" l="1" a="1"/>
  <c r="B3" i="2" s="1"/>
  <c r="C9" i="5" l="1"/>
  <c r="C10" i="5" l="1" a="1"/>
  <c r="C10" i="5" s="1"/>
  <c r="C11" i="5" s="1"/>
  <c r="C13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<sst xmlns="http://schemas.openxmlformats.org/spreadsheetml/2006/main" count="24" uniqueCount="19">
  <si>
    <t>Number of Stock</t>
  </si>
  <si>
    <t>Number of Return</t>
  </si>
  <si>
    <t>Stock Dates</t>
  </si>
  <si>
    <t>Stock Names</t>
  </si>
  <si>
    <t>Correlation Matrix</t>
  </si>
  <si>
    <t>Stocks down</t>
  </si>
  <si>
    <t>Average Return</t>
  </si>
  <si>
    <t>Varience</t>
  </si>
  <si>
    <t>St. Dev</t>
  </si>
  <si>
    <t>Expected Portfolio Return</t>
  </si>
  <si>
    <t>Portfolio ST.Dev</t>
  </si>
  <si>
    <t>Risk Free Rate</t>
  </si>
  <si>
    <t>Sharpe Ratio</t>
  </si>
  <si>
    <t>Budget</t>
  </si>
  <si>
    <t>Portfolio Variance</t>
  </si>
  <si>
    <t>Your Portfolio</t>
  </si>
  <si>
    <t>Return</t>
  </si>
  <si>
    <t>Risk</t>
  </si>
  <si>
    <t>Min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</si>
</sst>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0.0000"/>
    <numFmt numFmtId="166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8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0" fontId="0" fillId="0" borderId="0" xfId="1" applyNumberFormat="1" applyFont="1"/>
    <xf numFmtId="0" fontId="0" fillId="0" borderId="1" xfId="0" applyBorder="1"/>
    <xf numFmtId="10" fontId="0" fillId="0" borderId="1" xfId="1" applyNumberFormat="1" applyFont="1" applyBorder="1"/>
    <xf numFmtId="164" fontId="0" fillId="0" borderId="1" xfId="1" applyNumberFormat="1" applyFont="1" applyBorder="1"/>
    <xf numFmtId="165" fontId="0" fillId="0" borderId="1" xfId="0" applyNumberFormat="1" applyBorder="1"/>
    <xf numFmtId="44" fontId="0" fillId="0" borderId="0" xfId="2" applyFont="1"/>
    <xf numFmtId="9" fontId="0" fillId="0" borderId="0" xfId="1" applyFont="1"/>
    <xf numFmtId="166" fontId="0" fillId="0" borderId="0" xfId="2" applyNumberFormat="1" applyFont="1"/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/>
    <xf numFmtId="10" fontId="5" fillId="0" borderId="0" xfId="1" applyNumberFormat="1" applyFon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55986537302893E-2"/>
          <c:y val="0.14574468828383183"/>
          <c:w val="0.86338429571303588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'Portfolio Info'!$C$20:$H$20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'Portfolio Info'!$C$19:$H$19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7B-4893-99CC-45C305FEA08F}"/>
            </c:ext>
          </c:extLst>
        </c:ser>
        <c:ser>
          <c:idx val="1"/>
          <c:order val="1"/>
          <c:tx>
            <c:v>Portfolio</c:v>
          </c:tx>
          <c:spPr>
            <a:ln w="19050" cap="sq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'Portfolio Info'!$E$26</c:f>
              <c:numCache>
                <c:formatCode>0%</c:formatCode>
                <c:ptCount val="1"/>
                <c:pt idx="0">
                  <c:v>4.8953630692462793E-2</c:v>
                </c:pt>
              </c:numCache>
            </c:numRef>
          </c:xVal>
          <c:yVal>
            <c:numRef>
              <c:f>'Portfolio Info'!$E$25</c:f>
              <c:numCache>
                <c:formatCode>0.00%</c:formatCode>
                <c:ptCount val="1"/>
                <c:pt idx="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7-49A7-8508-A2914A49D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0211855"/>
        <c:axId val="2049006383"/>
      </c:scatterChart>
      <c:valAx>
        <c:axId val="1180211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layout>
            <c:manualLayout>
              <c:xMode val="edge"/>
              <c:yMode val="edge"/>
              <c:x val="0.51327218332536928"/>
              <c:y val="0.849551113803082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06383"/>
        <c:crosses val="autoZero"/>
        <c:crossBetween val="midCat"/>
      </c:valAx>
      <c:valAx>
        <c:axId val="20490063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9.0727151434289527E-2"/>
              <c:y val="0.355953448321778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211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XFD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254000</xdr:colOff>
          <xdr:row>5</xdr:row>
          <xdr:rowOff>38100</xdr:rowOff>
        </xdr:from>
        <xdr:to>
          <xdr:col>11</xdr:col>
          <xdr:colOff>323850</xdr:colOff>
          <xdr:row>7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485588</xdr:colOff>
      <xdr:row>7</xdr:row>
      <xdr:rowOff>89647</xdr:rowOff>
    </xdr:from>
    <xdr:to>
      <xdr:col>19</xdr:col>
      <xdr:colOff>537882</xdr:colOff>
      <xdr:row>15</xdr:row>
      <xdr:rowOff>134470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665882" y="1397000"/>
          <a:ext cx="4340412" cy="1538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1- Enter the Stock number</a:t>
          </a:r>
          <a:r>
            <a:rPr lang="en-US" sz="1100" baseline="0"/>
            <a:t> and dates you want to analyze to B1 and B2 Cells</a:t>
          </a:r>
        </a:p>
        <a:p>
          <a:r>
            <a:rPr lang="en-US" sz="1100" baseline="0"/>
            <a:t>2- Press calculate, if you want to see correlation and coverience matrixes, you can check the worksheets.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584200</xdr:colOff>
          <xdr:row>9</xdr:row>
          <xdr:rowOff>146050</xdr:rowOff>
        </xdr:from>
        <xdr:to>
          <xdr:col>8</xdr:col>
          <xdr:colOff>215900</xdr:colOff>
          <xdr:row>11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Max-Sharpe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7</xdr:row>
          <xdr:rowOff>171450</xdr:rowOff>
        </xdr:from>
        <xdr:to>
          <xdr:col>8</xdr:col>
          <xdr:colOff>254000</xdr:colOff>
          <xdr:row>9</xdr:row>
          <xdr:rowOff>88900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Selling Active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9</xdr:row>
          <xdr:rowOff>177800</xdr:rowOff>
        </xdr:from>
        <xdr:to>
          <xdr:col>9</xdr:col>
          <xdr:colOff>590550</xdr:colOff>
          <xdr:row>11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 Risk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483152</xdr:colOff>
      <xdr:row>7</xdr:row>
      <xdr:rowOff>49557</xdr:rowOff>
    </xdr:from>
    <xdr:to>
      <xdr:col>26</xdr:col>
      <xdr:colOff>274752</xdr:colOff>
      <xdr:row>29</xdr:row>
      <xdr:rowOff>102474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2</xdr:row>
          <xdr:rowOff>120650</xdr:rowOff>
        </xdr:from>
        <xdr:to>
          <xdr:col>14</xdr:col>
          <xdr:colOff>457200</xdr:colOff>
          <xdr:row>5</xdr:row>
          <xdr:rowOff>25400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Draw EFF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23</xdr:row>
          <xdr:rowOff>158750</xdr:rowOff>
        </xdr:from>
        <xdr:to>
          <xdr:col>7</xdr:col>
          <xdr:colOff>425450</xdr:colOff>
          <xdr:row>25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526144</xdr:colOff>
      <xdr:row>15</xdr:row>
      <xdr:rowOff>18142</xdr:rowOff>
    </xdr:from>
    <xdr:to>
      <xdr:col>13</xdr:col>
      <xdr:colOff>299358</xdr:colOff>
      <xdr:row>22</xdr:row>
      <xdr:rowOff>9071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519715" y="2739571"/>
          <a:ext cx="5851072" cy="12609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1-Click Draw EFF</a:t>
          </a:r>
          <a:r>
            <a:rPr lang="en-US" sz="1100" baseline="0"/>
            <a:t> for the graph</a:t>
          </a:r>
        </a:p>
        <a:p>
          <a:r>
            <a:rPr lang="en-US" sz="1100" baseline="0"/>
            <a:t>2- If you want to maximize sharpe ratio or minimize risk, click the buttons and the portfolio weights in the first row will change </a:t>
          </a:r>
        </a:p>
        <a:p>
          <a:r>
            <a:rPr lang="en-US" sz="1100" baseline="0"/>
            <a:t>3-  if you want a specific return change cell "E25" and click calculate button, it will give you portfolio weights of that return, and show the portfolio on EFF Graph ( Currently can't do long only portfolio)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854D-4DAC-411B-B40B-896C1CF43EBB}">
  <sheetPr codeName="Sheet6"/>
  <dimension ref="A1:F18"/>
  <sheetViews>
    <sheetView workbookViewId="0">
      <selection activeCell="D18" sqref="D18"/>
    </sheetView>
  </sheetViews>
  <sheetFormatPr defaultRowHeight="14.5" x14ac:dyDescent="0.35"/>
  <sheetData>
    <row r="1" spans="1:6" x14ac:dyDescent="0.35">
      <c r="A1" s="12">
        <v>0.21183800623052962</v>
      </c>
      <c r="B1" s="12">
        <v>0.22773805952380966</v>
      </c>
      <c r="C1" s="12">
        <v>0.11052107009749013</v>
      </c>
      <c r="D1" s="12">
        <v>0.19360268708408457</v>
      </c>
      <c r="E1" s="12">
        <v>1.3211336080276581E-2</v>
      </c>
      <c r="F1" s="12">
        <v>0.19360268708408457</v>
      </c>
    </row>
    <row r="2" spans="1:6" x14ac:dyDescent="0.35">
      <c r="A2" s="12">
        <v>7.7120822622107621E-3</v>
      </c>
      <c r="B2" s="12">
        <v>-8.6298790447943197E-2</v>
      </c>
      <c r="C2" s="12">
        <v>2.162314509438179E-2</v>
      </c>
      <c r="D2" s="12">
        <v>-0.13878702006242538</v>
      </c>
      <c r="E2" s="12">
        <v>-3.1118265015820712E-2</v>
      </c>
      <c r="F2" s="12">
        <v>-0.13878702006242538</v>
      </c>
    </row>
    <row r="3" spans="1:6" x14ac:dyDescent="0.35">
      <c r="A3" s="12">
        <v>7.7806122448979442E-2</v>
      </c>
      <c r="B3" s="12">
        <v>9.6147699369170114E-2</v>
      </c>
      <c r="C3" s="12">
        <v>0.12035676470490708</v>
      </c>
      <c r="D3" s="12">
        <v>-2.8496592581179314E-2</v>
      </c>
      <c r="E3" s="12">
        <v>3.5671199245260743E-2</v>
      </c>
      <c r="F3" s="12">
        <v>-2.8496592581179314E-2</v>
      </c>
    </row>
    <row r="4" spans="1:6" x14ac:dyDescent="0.35">
      <c r="A4" s="12">
        <v>-8.2840236686390401E-2</v>
      </c>
      <c r="B4" s="12">
        <v>2.0911956424513933E-2</v>
      </c>
      <c r="C4" s="12">
        <v>2.8987127771114451E-2</v>
      </c>
      <c r="D4" s="12">
        <v>4.3830411328389385E-3</v>
      </c>
      <c r="E4" s="12">
        <v>-6.34466236862119E-3</v>
      </c>
      <c r="F4" s="12">
        <v>4.3830411328389385E-3</v>
      </c>
    </row>
    <row r="5" spans="1:6" x14ac:dyDescent="0.35">
      <c r="A5" s="12">
        <v>0.89806451612903238</v>
      </c>
      <c r="B5" s="12">
        <v>0.14348037392547286</v>
      </c>
      <c r="C5" s="12">
        <v>4.4613468130177525E-2</v>
      </c>
      <c r="D5" s="12">
        <v>-0.15944947433872192</v>
      </c>
      <c r="E5" s="12">
        <v>-8.2698843307859593E-2</v>
      </c>
      <c r="F5" s="12">
        <v>-0.15944947433872192</v>
      </c>
    </row>
    <row r="6" spans="1:6" x14ac:dyDescent="0.35">
      <c r="A6" s="12">
        <v>4.2148198504418755E-2</v>
      </c>
      <c r="B6" s="12">
        <v>8.1107968467275526E-2</v>
      </c>
      <c r="C6" s="12">
        <v>9.5843795205555082E-2</v>
      </c>
      <c r="D6" s="12">
        <v>-4.0335461647944881E-2</v>
      </c>
      <c r="E6" s="12">
        <v>6.0757676657521076E-2</v>
      </c>
      <c r="F6" s="12">
        <v>-4.0335461647944881E-2</v>
      </c>
    </row>
    <row r="7" spans="1:6" x14ac:dyDescent="0.35">
      <c r="A7" s="12">
        <v>0.29419439008480097</v>
      </c>
      <c r="B7" s="12">
        <v>2.5467873385487172E-2</v>
      </c>
      <c r="C7" s="12">
        <v>1.278543490084405E-2</v>
      </c>
      <c r="D7" s="12">
        <v>9.4049101371240118E-2</v>
      </c>
      <c r="E7" s="12">
        <v>2.8436639648262263E-2</v>
      </c>
      <c r="F7" s="12">
        <v>9.4049101371240118E-2</v>
      </c>
    </row>
    <row r="8" spans="1:6" x14ac:dyDescent="0.35">
      <c r="A8" s="12">
        <v>-0.24495967741935476</v>
      </c>
      <c r="B8" s="12">
        <v>3.2390800618907978E-2</v>
      </c>
      <c r="C8" s="12">
        <v>-4.3675251097148649E-2</v>
      </c>
      <c r="D8" s="12">
        <v>-9.8896915218831705E-2</v>
      </c>
      <c r="E8" s="12">
        <v>-8.1090108023476715E-2</v>
      </c>
      <c r="F8" s="12">
        <v>-9.8896915218831705E-2</v>
      </c>
    </row>
    <row r="9" spans="1:6" x14ac:dyDescent="0.35">
      <c r="A9" s="12">
        <v>6.809078771695587E-2</v>
      </c>
      <c r="B9" s="12">
        <v>-7.8907270448057121E-2</v>
      </c>
      <c r="C9" s="12">
        <v>-8.7447690408716139E-2</v>
      </c>
      <c r="D9" s="12">
        <v>-3.1236807461510807E-2</v>
      </c>
      <c r="E9" s="12">
        <v>-5.1686941387624974E-2</v>
      </c>
      <c r="F9" s="12">
        <v>-3.1236807461510807E-2</v>
      </c>
    </row>
    <row r="10" spans="1:6" x14ac:dyDescent="0.35">
      <c r="A10" s="12">
        <v>-7.4999999999999956E-2</v>
      </c>
      <c r="B10" s="12">
        <v>4.6963442881605477E-2</v>
      </c>
      <c r="C10" s="12">
        <v>-2.5699486248308423E-3</v>
      </c>
      <c r="D10" s="12">
        <v>-0.14030504835272117</v>
      </c>
      <c r="E10" s="12">
        <v>6.661491963525723E-3</v>
      </c>
      <c r="F10" s="12">
        <v>-0.14030504835272117</v>
      </c>
    </row>
    <row r="11" spans="1:6" x14ac:dyDescent="0.35">
      <c r="A11" s="12">
        <v>0.44189189189189171</v>
      </c>
      <c r="B11" s="12">
        <v>9.797888189883186E-2</v>
      </c>
      <c r="C11" s="12">
        <v>0.12109852161934742</v>
      </c>
      <c r="D11" s="12">
        <v>0.33046122655854027</v>
      </c>
      <c r="E11" s="12">
        <v>8.0199815300525445E-2</v>
      </c>
      <c r="F11" s="12">
        <v>0.33046122655854027</v>
      </c>
    </row>
    <row r="18" ht="13.5" customHeight="1" x14ac:dyDescent="0.3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EBF8-1E44-4D1A-9A4B-B4496248449B}">
  <sheetPr codeName="Sheet1"/>
  <dimension ref="A1:BET25"/>
  <sheetViews>
    <sheetView zoomScale="85" zoomScaleNormal="85" workbookViewId="0">
      <selection activeCell="B7" sqref="B7"/>
    </sheetView>
  </sheetViews>
  <sheetFormatPr defaultRowHeight="14.5" x14ac:dyDescent="0.35"/>
  <cols>
    <col min="1" max="1" width="16" style="12" bestFit="1" customWidth="1"/>
    <col min="2" max="4" width="8.7265625" style="12"/>
    <col min="5" max="5" width="13.36328125" style="12" customWidth="1"/>
    <col min="6" max="16384" width="8.7265625" style="12"/>
  </cols>
  <sheetData>
    <row r="1" spans="1:1502" customFormat="1" x14ac:dyDescent="0.35">
      <c r="A1" t="s">
        <v>0</v>
      </c>
      <c r="B1" s="12"/>
    </row>
    <row r="2" spans="1:1502" customFormat="1" x14ac:dyDescent="0.35">
      <c r="A2" t="s">
        <v>1</v>
      </c>
      <c r="B2" s="12"/>
    </row>
    <row r="3" spans="1:1502" customFormat="1" x14ac:dyDescent="0.35"/>
    <row r="4" spans="1:1502" s="13" customFormat="1" x14ac:dyDescent="0.35">
      <c r="A4" s="1" t="s">
        <v>3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  <c r="ALZ4" s="16"/>
      <c r="AMA4" s="16"/>
      <c r="AMB4" s="16"/>
      <c r="AMC4" s="16"/>
      <c r="AMD4" s="16"/>
      <c r="AME4" s="16"/>
      <c r="AMF4" s="16"/>
      <c r="AMG4" s="16"/>
      <c r="AMH4" s="16"/>
      <c r="AMI4" s="16"/>
      <c r="AMJ4" s="16"/>
      <c r="AMK4" s="16"/>
      <c r="AML4" s="16"/>
      <c r="AMM4" s="16"/>
      <c r="AMN4" s="16"/>
      <c r="AMO4" s="16"/>
      <c r="AMP4" s="16"/>
      <c r="AMQ4" s="16"/>
      <c r="AMR4" s="16"/>
      <c r="AMS4" s="16"/>
      <c r="AMT4" s="16"/>
      <c r="AMU4" s="16"/>
      <c r="AMV4" s="16"/>
      <c r="AMW4" s="16"/>
      <c r="AMX4" s="16"/>
      <c r="AMY4" s="16"/>
      <c r="AMZ4" s="16"/>
      <c r="ANA4" s="16"/>
      <c r="ANB4" s="16"/>
      <c r="ANC4" s="16"/>
      <c r="AND4" s="16"/>
      <c r="ANE4" s="16"/>
      <c r="ANF4" s="16"/>
      <c r="ANG4" s="16"/>
      <c r="ANH4" s="16"/>
      <c r="ANI4" s="16"/>
      <c r="ANJ4" s="16"/>
      <c r="ANK4" s="16"/>
      <c r="ANL4" s="16"/>
      <c r="ANM4" s="16"/>
      <c r="ANN4" s="16"/>
      <c r="ANO4" s="16"/>
      <c r="ANP4" s="16"/>
      <c r="ANQ4" s="16"/>
      <c r="ANR4" s="16"/>
      <c r="ANS4" s="16"/>
      <c r="ANT4" s="16"/>
      <c r="ANU4" s="16"/>
      <c r="ANV4" s="16"/>
      <c r="ANW4" s="16"/>
      <c r="ANX4" s="16"/>
      <c r="ANY4" s="16"/>
      <c r="ANZ4" s="16"/>
      <c r="AOA4" s="16"/>
      <c r="AOB4" s="16"/>
      <c r="AOC4" s="16"/>
      <c r="AOD4" s="16"/>
      <c r="AOE4" s="16"/>
      <c r="AOF4" s="16"/>
      <c r="AOG4" s="16"/>
      <c r="AOH4" s="16"/>
      <c r="AOI4" s="16"/>
      <c r="AOJ4" s="16"/>
      <c r="AOK4" s="16"/>
      <c r="AOL4" s="16"/>
      <c r="AOM4" s="16"/>
      <c r="AON4" s="16"/>
      <c r="AOO4" s="16"/>
      <c r="AOP4" s="16"/>
      <c r="AOQ4" s="16"/>
      <c r="AOR4" s="16"/>
      <c r="AOS4" s="16"/>
      <c r="AOT4" s="16"/>
      <c r="AOU4" s="16"/>
      <c r="AOV4" s="16"/>
      <c r="AOW4" s="16"/>
      <c r="AOX4" s="16"/>
      <c r="AOY4" s="16"/>
      <c r="AOZ4" s="16"/>
      <c r="APA4" s="16"/>
      <c r="APB4" s="16"/>
      <c r="APC4" s="16"/>
      <c r="APD4" s="16"/>
      <c r="APE4" s="16"/>
      <c r="APF4" s="16"/>
      <c r="APG4" s="16"/>
      <c r="APH4" s="16"/>
      <c r="API4" s="16"/>
      <c r="APJ4" s="16"/>
      <c r="APK4" s="16"/>
      <c r="APL4" s="16"/>
      <c r="APM4" s="16"/>
      <c r="APN4" s="16"/>
      <c r="APO4" s="16"/>
      <c r="APP4" s="16"/>
      <c r="APQ4" s="16"/>
      <c r="APR4" s="16"/>
      <c r="APS4" s="16"/>
      <c r="APT4" s="16"/>
      <c r="APU4" s="16"/>
      <c r="APV4" s="16"/>
      <c r="APW4" s="16"/>
      <c r="APX4" s="16"/>
      <c r="APY4" s="16"/>
      <c r="APZ4" s="16"/>
      <c r="AQA4" s="16"/>
      <c r="AQB4" s="16"/>
      <c r="AQC4" s="16"/>
      <c r="AQD4" s="16"/>
      <c r="AQE4" s="16"/>
      <c r="AQF4" s="16"/>
      <c r="AQG4" s="16"/>
      <c r="AQH4" s="16"/>
      <c r="AQI4" s="16"/>
      <c r="AQJ4" s="16"/>
      <c r="AQK4" s="16"/>
      <c r="AQL4" s="16"/>
      <c r="AQM4" s="16"/>
      <c r="AQN4" s="16"/>
      <c r="AQO4" s="16"/>
      <c r="AQP4" s="16"/>
      <c r="AQQ4" s="16"/>
      <c r="AQR4" s="16"/>
      <c r="AQS4" s="16"/>
      <c r="AQT4" s="16"/>
      <c r="AQU4" s="16"/>
      <c r="AQV4" s="16"/>
      <c r="AQW4" s="16"/>
      <c r="AQX4" s="16"/>
      <c r="AQY4" s="16"/>
      <c r="AQZ4" s="16"/>
      <c r="ARA4" s="16"/>
      <c r="ARB4" s="16"/>
      <c r="ARC4" s="16"/>
      <c r="ARD4" s="16"/>
      <c r="ARE4" s="16"/>
      <c r="ARF4" s="16"/>
      <c r="ARG4" s="16"/>
      <c r="ARH4" s="16"/>
      <c r="ARI4" s="16"/>
      <c r="ARJ4" s="16"/>
      <c r="ARK4" s="16"/>
      <c r="ARL4" s="16"/>
      <c r="ARM4" s="16"/>
      <c r="ARN4" s="16"/>
      <c r="ARO4" s="16"/>
      <c r="ARP4" s="16"/>
      <c r="ARQ4" s="16"/>
      <c r="ARR4" s="16"/>
      <c r="ARS4" s="16"/>
      <c r="ART4" s="16"/>
      <c r="ARU4" s="16"/>
      <c r="ARV4" s="16"/>
      <c r="ARW4" s="16"/>
      <c r="ARX4" s="16"/>
      <c r="ARY4" s="16"/>
      <c r="ARZ4" s="16"/>
      <c r="ASA4" s="16"/>
      <c r="ASB4" s="16"/>
      <c r="ASC4" s="16"/>
      <c r="ASD4" s="16"/>
      <c r="ASE4" s="16"/>
      <c r="ASF4" s="16"/>
      <c r="ASG4" s="16"/>
      <c r="ASH4" s="16"/>
      <c r="ASI4" s="16"/>
      <c r="ASJ4" s="16"/>
      <c r="ASK4" s="16"/>
      <c r="ASL4" s="16"/>
      <c r="ASM4" s="16"/>
      <c r="ASN4" s="16"/>
      <c r="ASO4" s="16"/>
      <c r="ASP4" s="16"/>
      <c r="ASQ4" s="16"/>
      <c r="ASR4" s="16"/>
      <c r="ASS4" s="16"/>
      <c r="AST4" s="16"/>
      <c r="ASU4" s="16"/>
      <c r="ASV4" s="16"/>
      <c r="ASW4" s="16"/>
      <c r="ASX4" s="16"/>
      <c r="ASY4" s="16"/>
      <c r="ASZ4" s="16"/>
      <c r="ATA4" s="16"/>
      <c r="ATB4" s="16"/>
      <c r="ATC4" s="16"/>
      <c r="ATD4" s="16"/>
      <c r="ATE4" s="16"/>
      <c r="ATF4" s="16"/>
      <c r="ATG4" s="16"/>
      <c r="ATH4" s="16"/>
      <c r="ATI4" s="16"/>
      <c r="ATJ4" s="16"/>
      <c r="ATK4" s="16"/>
      <c r="ATL4" s="16"/>
      <c r="ATM4" s="16"/>
      <c r="ATN4" s="16"/>
      <c r="ATO4" s="16"/>
      <c r="ATP4" s="16"/>
      <c r="ATQ4" s="16"/>
      <c r="ATR4" s="16"/>
      <c r="ATS4" s="16"/>
      <c r="ATT4" s="16"/>
      <c r="ATU4" s="16"/>
      <c r="ATV4" s="16"/>
      <c r="ATW4" s="16"/>
      <c r="ATX4" s="16"/>
      <c r="ATY4" s="16"/>
      <c r="ATZ4" s="16"/>
      <c r="AUA4" s="16"/>
      <c r="AUB4" s="16"/>
      <c r="AUC4" s="16"/>
      <c r="AUD4" s="16"/>
      <c r="AUE4" s="16"/>
      <c r="AUF4" s="16"/>
      <c r="AUG4" s="16"/>
      <c r="AUH4" s="16"/>
      <c r="AUI4" s="16"/>
      <c r="AUJ4" s="16"/>
      <c r="AUK4" s="16"/>
      <c r="AUL4" s="16"/>
      <c r="AUM4" s="16"/>
      <c r="AUN4" s="16"/>
      <c r="AUO4" s="16"/>
      <c r="AUP4" s="16"/>
      <c r="AUQ4" s="16"/>
      <c r="AUR4" s="16"/>
      <c r="AUS4" s="16"/>
      <c r="AUT4" s="16"/>
      <c r="AUU4" s="16"/>
      <c r="AUV4" s="16"/>
      <c r="AUW4" s="16"/>
      <c r="AUX4" s="16"/>
      <c r="AUY4" s="16"/>
      <c r="AUZ4" s="16"/>
      <c r="AVA4" s="16"/>
      <c r="AVB4" s="16"/>
      <c r="AVC4" s="16"/>
      <c r="AVD4" s="16"/>
      <c r="AVE4" s="16"/>
      <c r="AVF4" s="16"/>
      <c r="AVG4" s="16"/>
      <c r="AVH4" s="16"/>
      <c r="AVI4" s="16"/>
      <c r="AVJ4" s="16"/>
      <c r="AVK4" s="16"/>
      <c r="AVL4" s="16"/>
      <c r="AVM4" s="16"/>
      <c r="AVN4" s="16"/>
      <c r="AVO4" s="16"/>
      <c r="AVP4" s="16"/>
      <c r="AVQ4" s="16"/>
      <c r="AVR4" s="16"/>
      <c r="AVS4" s="16"/>
      <c r="AVT4" s="16"/>
      <c r="AVU4" s="16"/>
      <c r="AVV4" s="16"/>
      <c r="AVW4" s="16"/>
      <c r="AVX4" s="16"/>
      <c r="AVY4" s="16"/>
      <c r="AVZ4" s="16"/>
      <c r="AWA4" s="16"/>
      <c r="AWB4" s="16"/>
      <c r="AWC4" s="16"/>
      <c r="AWD4" s="16"/>
      <c r="AWE4" s="16"/>
      <c r="AWF4" s="16"/>
      <c r="AWG4" s="16"/>
      <c r="AWH4" s="16"/>
      <c r="AWI4" s="16"/>
      <c r="AWJ4" s="16"/>
      <c r="AWK4" s="16"/>
      <c r="AWL4" s="16"/>
      <c r="AWM4" s="16"/>
      <c r="AWN4" s="16"/>
      <c r="AWO4" s="16"/>
      <c r="AWP4" s="16"/>
      <c r="AWQ4" s="16"/>
      <c r="AWR4" s="16"/>
      <c r="AWS4" s="16"/>
      <c r="AWT4" s="16"/>
      <c r="AWU4" s="16"/>
      <c r="AWV4" s="16"/>
      <c r="AWW4" s="16"/>
      <c r="AWX4" s="16"/>
      <c r="AWY4" s="16"/>
      <c r="AWZ4" s="16"/>
      <c r="AXA4" s="16"/>
      <c r="AXB4" s="16"/>
      <c r="AXC4" s="16"/>
      <c r="AXD4" s="16"/>
      <c r="AXE4" s="16"/>
      <c r="AXF4" s="16"/>
      <c r="AXG4" s="16"/>
      <c r="AXH4" s="16"/>
      <c r="AXI4" s="16"/>
      <c r="AXJ4" s="16"/>
      <c r="AXK4" s="16"/>
      <c r="AXL4" s="16"/>
      <c r="AXM4" s="16"/>
      <c r="AXN4" s="16"/>
      <c r="AXO4" s="16"/>
      <c r="AXP4" s="16"/>
      <c r="AXQ4" s="16"/>
      <c r="AXR4" s="16"/>
      <c r="AXS4" s="16"/>
      <c r="AXT4" s="16"/>
      <c r="AXU4" s="16"/>
      <c r="AXV4" s="16"/>
      <c r="AXW4" s="16"/>
      <c r="AXX4" s="16"/>
      <c r="AXY4" s="16"/>
      <c r="AXZ4" s="16"/>
      <c r="AYA4" s="16"/>
      <c r="AYB4" s="16"/>
      <c r="AYC4" s="16"/>
      <c r="AYD4" s="16"/>
      <c r="AYE4" s="16"/>
      <c r="AYF4" s="16"/>
      <c r="AYG4" s="16"/>
      <c r="AYH4" s="16"/>
      <c r="AYI4" s="16"/>
      <c r="AYJ4" s="16"/>
      <c r="AYK4" s="16"/>
      <c r="AYL4" s="16"/>
      <c r="AYM4" s="16"/>
      <c r="AYN4" s="16"/>
      <c r="AYO4" s="16"/>
      <c r="AYP4" s="16"/>
      <c r="AYQ4" s="16"/>
      <c r="AYR4" s="16"/>
      <c r="AYS4" s="16"/>
      <c r="AYT4" s="16"/>
      <c r="AYU4" s="16"/>
      <c r="AYV4" s="16"/>
      <c r="AYW4" s="16"/>
      <c r="AYX4" s="16"/>
      <c r="AYY4" s="16"/>
      <c r="AYZ4" s="16"/>
      <c r="AZA4" s="16"/>
      <c r="AZB4" s="16"/>
      <c r="AZC4" s="16"/>
      <c r="AZD4" s="16"/>
      <c r="AZE4" s="16"/>
      <c r="AZF4" s="16"/>
      <c r="AZG4" s="16"/>
      <c r="AZH4" s="16"/>
      <c r="AZI4" s="16"/>
      <c r="AZJ4" s="16"/>
      <c r="AZK4" s="16"/>
      <c r="AZL4" s="16"/>
      <c r="AZM4" s="16"/>
      <c r="AZN4" s="16"/>
      <c r="AZO4" s="16"/>
      <c r="AZP4" s="16"/>
      <c r="AZQ4" s="16"/>
      <c r="AZR4" s="16"/>
      <c r="AZS4" s="16"/>
      <c r="AZT4" s="16"/>
      <c r="AZU4" s="16"/>
      <c r="AZV4" s="16"/>
      <c r="AZW4" s="16"/>
      <c r="AZX4" s="16"/>
      <c r="AZY4" s="16"/>
      <c r="AZZ4" s="16"/>
      <c r="BAA4" s="16"/>
      <c r="BAB4" s="16"/>
      <c r="BAC4" s="16"/>
      <c r="BAD4" s="16"/>
      <c r="BAE4" s="16"/>
      <c r="BAF4" s="16"/>
      <c r="BAG4" s="16"/>
      <c r="BAH4" s="16"/>
      <c r="BAI4" s="16"/>
      <c r="BAJ4" s="16"/>
      <c r="BAK4" s="16"/>
      <c r="BAL4" s="16"/>
      <c r="BAM4" s="16"/>
      <c r="BAN4" s="16"/>
      <c r="BAO4" s="16"/>
      <c r="BAP4" s="16"/>
      <c r="BAQ4" s="16"/>
      <c r="BAR4" s="16"/>
      <c r="BAS4" s="16"/>
      <c r="BAT4" s="16"/>
      <c r="BAU4" s="16"/>
      <c r="BAV4" s="16"/>
      <c r="BAW4" s="16"/>
      <c r="BAX4" s="16"/>
      <c r="BAY4" s="16"/>
      <c r="BAZ4" s="16"/>
      <c r="BBA4" s="16"/>
      <c r="BBB4" s="16"/>
      <c r="BBC4" s="16"/>
      <c r="BBD4" s="16"/>
      <c r="BBE4" s="16"/>
      <c r="BBF4" s="16"/>
      <c r="BBG4" s="16"/>
      <c r="BBH4" s="16"/>
      <c r="BBI4" s="16"/>
      <c r="BBJ4" s="16"/>
      <c r="BBK4" s="16"/>
      <c r="BBL4" s="16"/>
      <c r="BBM4" s="16"/>
      <c r="BBN4" s="16"/>
      <c r="BBO4" s="16"/>
      <c r="BBP4" s="16"/>
      <c r="BBQ4" s="16"/>
      <c r="BBR4" s="16"/>
      <c r="BBS4" s="16"/>
      <c r="BBT4" s="16"/>
      <c r="BBU4" s="16"/>
      <c r="BBV4" s="16"/>
      <c r="BBW4" s="16"/>
      <c r="BBX4" s="16"/>
      <c r="BBY4" s="16"/>
      <c r="BBZ4" s="16"/>
      <c r="BCA4" s="16"/>
      <c r="BCB4" s="16"/>
      <c r="BCC4" s="16"/>
      <c r="BCD4" s="16"/>
      <c r="BCE4" s="16"/>
      <c r="BCF4" s="16"/>
      <c r="BCG4" s="16"/>
      <c r="BCH4" s="16"/>
      <c r="BCI4" s="16"/>
      <c r="BCJ4" s="16"/>
      <c r="BCK4" s="16"/>
      <c r="BCL4" s="16"/>
      <c r="BCM4" s="16"/>
      <c r="BCN4" s="16"/>
      <c r="BCO4" s="16"/>
      <c r="BCP4" s="16"/>
      <c r="BCQ4" s="16"/>
      <c r="BCR4" s="16"/>
      <c r="BCS4" s="16"/>
      <c r="BCT4" s="16"/>
      <c r="BCU4" s="16"/>
      <c r="BCV4" s="16"/>
      <c r="BCW4" s="16"/>
      <c r="BCX4" s="16"/>
      <c r="BCY4" s="16"/>
      <c r="BCZ4" s="16"/>
      <c r="BDA4" s="16"/>
      <c r="BDB4" s="16"/>
      <c r="BDC4" s="16"/>
      <c r="BDD4" s="16"/>
      <c r="BDE4" s="16"/>
      <c r="BDF4" s="16"/>
      <c r="BDG4" s="16"/>
      <c r="BDH4" s="16"/>
      <c r="BDI4" s="16"/>
      <c r="BDJ4" s="16"/>
      <c r="BDK4" s="16"/>
      <c r="BDL4" s="16"/>
      <c r="BDM4" s="16"/>
      <c r="BDN4" s="16"/>
      <c r="BDO4" s="16"/>
      <c r="BDP4" s="16"/>
      <c r="BDQ4" s="16"/>
      <c r="BDR4" s="16"/>
      <c r="BDS4" s="16"/>
      <c r="BDT4" s="16"/>
      <c r="BDU4" s="16"/>
      <c r="BDV4" s="16"/>
      <c r="BDW4" s="16"/>
      <c r="BDX4" s="16"/>
      <c r="BDY4" s="16"/>
      <c r="BDZ4" s="16"/>
      <c r="BEA4" s="16"/>
      <c r="BEB4" s="16"/>
      <c r="BEC4" s="16"/>
      <c r="BED4" s="16"/>
      <c r="BEE4" s="16"/>
      <c r="BEF4" s="16"/>
      <c r="BEG4" s="16"/>
      <c r="BEH4" s="16"/>
      <c r="BEI4" s="16"/>
      <c r="BEJ4" s="16"/>
      <c r="BEK4" s="16"/>
      <c r="BEL4" s="16"/>
      <c r="BEM4" s="16"/>
      <c r="BEN4" s="16"/>
      <c r="BEO4" s="16"/>
      <c r="BEP4" s="16"/>
      <c r="BEQ4" s="16"/>
      <c r="BER4" s="16"/>
      <c r="BES4" s="16"/>
      <c r="BET4" s="16"/>
    </row>
    <row r="5" spans="1:1502" s="13" customFormat="1" x14ac:dyDescent="0.35">
      <c r="A5" s="1" t="s">
        <v>2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  <c r="ALZ5" s="16"/>
      <c r="AMA5" s="16"/>
      <c r="AMB5" s="16"/>
      <c r="AMC5" s="16"/>
      <c r="AMD5" s="16"/>
      <c r="AME5" s="16"/>
      <c r="AMF5" s="16"/>
      <c r="AMG5" s="16"/>
      <c r="AMH5" s="16"/>
      <c r="AMI5" s="16"/>
      <c r="AMJ5" s="16"/>
      <c r="AMK5" s="16"/>
      <c r="AML5" s="16"/>
      <c r="AMM5" s="16"/>
      <c r="AMN5" s="16"/>
      <c r="AMO5" s="16"/>
      <c r="AMP5" s="16"/>
      <c r="AMQ5" s="16"/>
      <c r="AMR5" s="16"/>
      <c r="AMS5" s="16"/>
      <c r="AMT5" s="16"/>
      <c r="AMU5" s="16"/>
      <c r="AMV5" s="16"/>
      <c r="AMW5" s="16"/>
      <c r="AMX5" s="16"/>
      <c r="AMY5" s="16"/>
      <c r="AMZ5" s="16"/>
      <c r="ANA5" s="16"/>
      <c r="ANB5" s="16"/>
      <c r="ANC5" s="16"/>
      <c r="AND5" s="16"/>
      <c r="ANE5" s="16"/>
      <c r="ANF5" s="16"/>
      <c r="ANG5" s="16"/>
      <c r="ANH5" s="16"/>
      <c r="ANI5" s="16"/>
      <c r="ANJ5" s="16"/>
      <c r="ANK5" s="16"/>
      <c r="ANL5" s="16"/>
      <c r="ANM5" s="16"/>
      <c r="ANN5" s="16"/>
      <c r="ANO5" s="16"/>
      <c r="ANP5" s="16"/>
      <c r="ANQ5" s="16"/>
      <c r="ANR5" s="16"/>
      <c r="ANS5" s="16"/>
      <c r="ANT5" s="16"/>
      <c r="ANU5" s="16"/>
      <c r="ANV5" s="16"/>
      <c r="ANW5" s="16"/>
      <c r="ANX5" s="16"/>
      <c r="ANY5" s="16"/>
      <c r="ANZ5" s="16"/>
      <c r="AOA5" s="16"/>
      <c r="AOB5" s="16"/>
      <c r="AOC5" s="16"/>
      <c r="AOD5" s="16"/>
      <c r="AOE5" s="16"/>
      <c r="AOF5" s="16"/>
      <c r="AOG5" s="16"/>
      <c r="AOH5" s="16"/>
      <c r="AOI5" s="16"/>
      <c r="AOJ5" s="16"/>
      <c r="AOK5" s="16"/>
      <c r="AOL5" s="16"/>
      <c r="AOM5" s="16"/>
      <c r="AON5" s="16"/>
      <c r="AOO5" s="16"/>
      <c r="AOP5" s="16"/>
      <c r="AOQ5" s="16"/>
      <c r="AOR5" s="16"/>
      <c r="AOS5" s="16"/>
      <c r="AOT5" s="16"/>
      <c r="AOU5" s="16"/>
      <c r="AOV5" s="16"/>
      <c r="AOW5" s="16"/>
      <c r="AOX5" s="16"/>
      <c r="AOY5" s="16"/>
      <c r="AOZ5" s="16"/>
      <c r="APA5" s="16"/>
      <c r="APB5" s="16"/>
      <c r="APC5" s="16"/>
      <c r="APD5" s="16"/>
      <c r="APE5" s="16"/>
      <c r="APF5" s="16"/>
      <c r="APG5" s="16"/>
      <c r="APH5" s="16"/>
      <c r="API5" s="16"/>
      <c r="APJ5" s="16"/>
      <c r="APK5" s="16"/>
      <c r="APL5" s="16"/>
      <c r="APM5" s="16"/>
      <c r="APN5" s="16"/>
      <c r="APO5" s="16"/>
      <c r="APP5" s="16"/>
      <c r="APQ5" s="16"/>
      <c r="APR5" s="16"/>
      <c r="APS5" s="16"/>
      <c r="APT5" s="16"/>
      <c r="APU5" s="16"/>
      <c r="APV5" s="16"/>
      <c r="APW5" s="16"/>
      <c r="APX5" s="16"/>
      <c r="APY5" s="16"/>
      <c r="APZ5" s="16"/>
      <c r="AQA5" s="16"/>
      <c r="AQB5" s="16"/>
      <c r="AQC5" s="16"/>
      <c r="AQD5" s="16"/>
      <c r="AQE5" s="16"/>
      <c r="AQF5" s="16"/>
      <c r="AQG5" s="16"/>
      <c r="AQH5" s="16"/>
      <c r="AQI5" s="16"/>
      <c r="AQJ5" s="16"/>
      <c r="AQK5" s="16"/>
      <c r="AQL5" s="16"/>
      <c r="AQM5" s="16"/>
      <c r="AQN5" s="16"/>
      <c r="AQO5" s="16"/>
      <c r="AQP5" s="16"/>
      <c r="AQQ5" s="16"/>
      <c r="AQR5" s="16"/>
      <c r="AQS5" s="16"/>
      <c r="AQT5" s="16"/>
      <c r="AQU5" s="16"/>
      <c r="AQV5" s="16"/>
      <c r="AQW5" s="16"/>
      <c r="AQX5" s="16"/>
      <c r="AQY5" s="16"/>
      <c r="AQZ5" s="16"/>
      <c r="ARA5" s="16"/>
      <c r="ARB5" s="16"/>
      <c r="ARC5" s="16"/>
      <c r="ARD5" s="16"/>
      <c r="ARE5" s="16"/>
      <c r="ARF5" s="16"/>
      <c r="ARG5" s="16"/>
      <c r="ARH5" s="16"/>
      <c r="ARI5" s="16"/>
      <c r="ARJ5" s="16"/>
      <c r="ARK5" s="16"/>
      <c r="ARL5" s="16"/>
      <c r="ARM5" s="16"/>
      <c r="ARN5" s="16"/>
      <c r="ARO5" s="16"/>
      <c r="ARP5" s="16"/>
      <c r="ARQ5" s="16"/>
      <c r="ARR5" s="16"/>
      <c r="ARS5" s="16"/>
      <c r="ART5" s="16"/>
      <c r="ARU5" s="16"/>
      <c r="ARV5" s="16"/>
      <c r="ARW5" s="16"/>
      <c r="ARX5" s="16"/>
      <c r="ARY5" s="16"/>
      <c r="ARZ5" s="16"/>
      <c r="ASA5" s="16"/>
      <c r="ASB5" s="16"/>
      <c r="ASC5" s="16"/>
      <c r="ASD5" s="16"/>
      <c r="ASE5" s="16"/>
      <c r="ASF5" s="16"/>
      <c r="ASG5" s="16"/>
      <c r="ASH5" s="16"/>
      <c r="ASI5" s="16"/>
      <c r="ASJ5" s="16"/>
      <c r="ASK5" s="16"/>
      <c r="ASL5" s="16"/>
      <c r="ASM5" s="16"/>
      <c r="ASN5" s="16"/>
      <c r="ASO5" s="16"/>
      <c r="ASP5" s="16"/>
      <c r="ASQ5" s="16"/>
      <c r="ASR5" s="16"/>
      <c r="ASS5" s="16"/>
      <c r="AST5" s="16"/>
      <c r="ASU5" s="16"/>
      <c r="ASV5" s="16"/>
      <c r="ASW5" s="16"/>
      <c r="ASX5" s="16"/>
      <c r="ASY5" s="16"/>
      <c r="ASZ5" s="16"/>
      <c r="ATA5" s="16"/>
      <c r="ATB5" s="16"/>
      <c r="ATC5" s="16"/>
      <c r="ATD5" s="16"/>
      <c r="ATE5" s="16"/>
      <c r="ATF5" s="16"/>
      <c r="ATG5" s="16"/>
      <c r="ATH5" s="16"/>
      <c r="ATI5" s="16"/>
      <c r="ATJ5" s="16"/>
      <c r="ATK5" s="16"/>
      <c r="ATL5" s="16"/>
      <c r="ATM5" s="16"/>
      <c r="ATN5" s="16"/>
      <c r="ATO5" s="16"/>
      <c r="ATP5" s="16"/>
      <c r="ATQ5" s="16"/>
      <c r="ATR5" s="16"/>
      <c r="ATS5" s="16"/>
      <c r="ATT5" s="16"/>
      <c r="ATU5" s="16"/>
      <c r="ATV5" s="16"/>
      <c r="ATW5" s="16"/>
      <c r="ATX5" s="16"/>
      <c r="ATY5" s="16"/>
      <c r="ATZ5" s="16"/>
      <c r="AUA5" s="16"/>
      <c r="AUB5" s="16"/>
      <c r="AUC5" s="16"/>
      <c r="AUD5" s="16"/>
      <c r="AUE5" s="16"/>
      <c r="AUF5" s="16"/>
      <c r="AUG5" s="16"/>
      <c r="AUH5" s="16"/>
      <c r="AUI5" s="16"/>
      <c r="AUJ5" s="16"/>
      <c r="AUK5" s="16"/>
      <c r="AUL5" s="16"/>
      <c r="AUM5" s="16"/>
      <c r="AUN5" s="16"/>
      <c r="AUO5" s="16"/>
      <c r="AUP5" s="16"/>
      <c r="AUQ5" s="16"/>
      <c r="AUR5" s="16"/>
      <c r="AUS5" s="16"/>
      <c r="AUT5" s="16"/>
      <c r="AUU5" s="16"/>
      <c r="AUV5" s="16"/>
      <c r="AUW5" s="16"/>
      <c r="AUX5" s="16"/>
      <c r="AUY5" s="16"/>
      <c r="AUZ5" s="16"/>
      <c r="AVA5" s="16"/>
      <c r="AVB5" s="16"/>
      <c r="AVC5" s="16"/>
      <c r="AVD5" s="16"/>
      <c r="AVE5" s="16"/>
      <c r="AVF5" s="16"/>
      <c r="AVG5" s="16"/>
      <c r="AVH5" s="16"/>
      <c r="AVI5" s="16"/>
      <c r="AVJ5" s="16"/>
      <c r="AVK5" s="16"/>
      <c r="AVL5" s="16"/>
      <c r="AVM5" s="16"/>
      <c r="AVN5" s="16"/>
      <c r="AVO5" s="16"/>
      <c r="AVP5" s="16"/>
      <c r="AVQ5" s="16"/>
      <c r="AVR5" s="16"/>
      <c r="AVS5" s="16"/>
      <c r="AVT5" s="16"/>
      <c r="AVU5" s="16"/>
      <c r="AVV5" s="16"/>
      <c r="AVW5" s="16"/>
      <c r="AVX5" s="16"/>
      <c r="AVY5" s="16"/>
      <c r="AVZ5" s="16"/>
      <c r="AWA5" s="16"/>
      <c r="AWB5" s="16"/>
      <c r="AWC5" s="16"/>
      <c r="AWD5" s="16"/>
      <c r="AWE5" s="16"/>
      <c r="AWF5" s="16"/>
      <c r="AWG5" s="16"/>
      <c r="AWH5" s="16"/>
      <c r="AWI5" s="16"/>
      <c r="AWJ5" s="16"/>
      <c r="AWK5" s="16"/>
      <c r="AWL5" s="16"/>
      <c r="AWM5" s="16"/>
      <c r="AWN5" s="16"/>
      <c r="AWO5" s="16"/>
      <c r="AWP5" s="16"/>
      <c r="AWQ5" s="16"/>
      <c r="AWR5" s="16"/>
      <c r="AWS5" s="16"/>
      <c r="AWT5" s="16"/>
      <c r="AWU5" s="16"/>
      <c r="AWV5" s="16"/>
      <c r="AWW5" s="16"/>
      <c r="AWX5" s="16"/>
      <c r="AWY5" s="16"/>
      <c r="AWZ5" s="16"/>
      <c r="AXA5" s="16"/>
      <c r="AXB5" s="16"/>
      <c r="AXC5" s="16"/>
      <c r="AXD5" s="16"/>
      <c r="AXE5" s="16"/>
      <c r="AXF5" s="16"/>
      <c r="AXG5" s="16"/>
      <c r="AXH5" s="16"/>
      <c r="AXI5" s="16"/>
      <c r="AXJ5" s="16"/>
      <c r="AXK5" s="16"/>
      <c r="AXL5" s="16"/>
      <c r="AXM5" s="16"/>
      <c r="AXN5" s="16"/>
      <c r="AXO5" s="16"/>
      <c r="AXP5" s="16"/>
      <c r="AXQ5" s="16"/>
      <c r="AXR5" s="16"/>
      <c r="AXS5" s="16"/>
      <c r="AXT5" s="16"/>
      <c r="AXU5" s="16"/>
      <c r="AXV5" s="16"/>
      <c r="AXW5" s="16"/>
      <c r="AXX5" s="16"/>
      <c r="AXY5" s="16"/>
      <c r="AXZ5" s="16"/>
      <c r="AYA5" s="16"/>
      <c r="AYB5" s="16"/>
      <c r="AYC5" s="16"/>
      <c r="AYD5" s="16"/>
      <c r="AYE5" s="16"/>
      <c r="AYF5" s="16"/>
      <c r="AYG5" s="16"/>
      <c r="AYH5" s="16"/>
      <c r="AYI5" s="16"/>
      <c r="AYJ5" s="16"/>
      <c r="AYK5" s="16"/>
      <c r="AYL5" s="16"/>
      <c r="AYM5" s="16"/>
      <c r="AYN5" s="16"/>
      <c r="AYO5" s="16"/>
      <c r="AYP5" s="16"/>
      <c r="AYQ5" s="16"/>
      <c r="AYR5" s="16"/>
      <c r="AYS5" s="16"/>
      <c r="AYT5" s="16"/>
      <c r="AYU5" s="16"/>
      <c r="AYV5" s="16"/>
      <c r="AYW5" s="16"/>
      <c r="AYX5" s="16"/>
      <c r="AYY5" s="16"/>
      <c r="AYZ5" s="16"/>
      <c r="AZA5" s="16"/>
      <c r="AZB5" s="16"/>
      <c r="AZC5" s="16"/>
      <c r="AZD5" s="16"/>
      <c r="AZE5" s="16"/>
      <c r="AZF5" s="16"/>
      <c r="AZG5" s="16"/>
      <c r="AZH5" s="16"/>
      <c r="AZI5" s="16"/>
      <c r="AZJ5" s="16"/>
      <c r="AZK5" s="16"/>
      <c r="AZL5" s="16"/>
      <c r="AZM5" s="16"/>
      <c r="AZN5" s="16"/>
      <c r="AZO5" s="16"/>
      <c r="AZP5" s="16"/>
      <c r="AZQ5" s="16"/>
      <c r="AZR5" s="16"/>
      <c r="AZS5" s="16"/>
      <c r="AZT5" s="16"/>
      <c r="AZU5" s="16"/>
      <c r="AZV5" s="16"/>
      <c r="AZW5" s="16"/>
      <c r="AZX5" s="16"/>
      <c r="AZY5" s="16"/>
      <c r="AZZ5" s="16"/>
      <c r="BAA5" s="16"/>
      <c r="BAB5" s="16"/>
      <c r="BAC5" s="16"/>
      <c r="BAD5" s="16"/>
      <c r="BAE5" s="16"/>
      <c r="BAF5" s="16"/>
      <c r="BAG5" s="16"/>
      <c r="BAH5" s="16"/>
      <c r="BAI5" s="16"/>
      <c r="BAJ5" s="16"/>
      <c r="BAK5" s="16"/>
      <c r="BAL5" s="16"/>
      <c r="BAM5" s="16"/>
      <c r="BAN5" s="16"/>
      <c r="BAO5" s="16"/>
      <c r="BAP5" s="16"/>
      <c r="BAQ5" s="16"/>
      <c r="BAR5" s="16"/>
      <c r="BAS5" s="16"/>
      <c r="BAT5" s="16"/>
      <c r="BAU5" s="16"/>
      <c r="BAV5" s="16"/>
      <c r="BAW5" s="16"/>
      <c r="BAX5" s="16"/>
      <c r="BAY5" s="16"/>
      <c r="BAZ5" s="16"/>
      <c r="BBA5" s="16"/>
      <c r="BBB5" s="16"/>
      <c r="BBC5" s="16"/>
      <c r="BBD5" s="16"/>
      <c r="BBE5" s="16"/>
      <c r="BBF5" s="16"/>
      <c r="BBG5" s="16"/>
      <c r="BBH5" s="16"/>
      <c r="BBI5" s="16"/>
      <c r="BBJ5" s="16"/>
      <c r="BBK5" s="16"/>
      <c r="BBL5" s="16"/>
      <c r="BBM5" s="16"/>
      <c r="BBN5" s="16"/>
      <c r="BBO5" s="16"/>
      <c r="BBP5" s="16"/>
      <c r="BBQ5" s="16"/>
      <c r="BBR5" s="16"/>
      <c r="BBS5" s="16"/>
      <c r="BBT5" s="16"/>
      <c r="BBU5" s="16"/>
      <c r="BBV5" s="16"/>
      <c r="BBW5" s="16"/>
      <c r="BBX5" s="16"/>
      <c r="BBY5" s="16"/>
      <c r="BBZ5" s="16"/>
      <c r="BCA5" s="16"/>
      <c r="BCB5" s="16"/>
      <c r="BCC5" s="16"/>
      <c r="BCD5" s="16"/>
      <c r="BCE5" s="16"/>
      <c r="BCF5" s="16"/>
      <c r="BCG5" s="16"/>
      <c r="BCH5" s="16"/>
      <c r="BCI5" s="16"/>
      <c r="BCJ5" s="16"/>
      <c r="BCK5" s="16"/>
      <c r="BCL5" s="16"/>
      <c r="BCM5" s="16"/>
      <c r="BCN5" s="16"/>
      <c r="BCO5" s="16"/>
      <c r="BCP5" s="16"/>
      <c r="BCQ5" s="16"/>
      <c r="BCR5" s="16"/>
      <c r="BCS5" s="16"/>
      <c r="BCT5" s="16"/>
      <c r="BCU5" s="16"/>
      <c r="BCV5" s="16"/>
      <c r="BCW5" s="16"/>
      <c r="BCX5" s="16"/>
      <c r="BCY5" s="16"/>
      <c r="BCZ5" s="16"/>
      <c r="BDA5" s="16"/>
      <c r="BDB5" s="16"/>
      <c r="BDC5" s="16"/>
      <c r="BDD5" s="16"/>
      <c r="BDE5" s="16"/>
      <c r="BDF5" s="16"/>
      <c r="BDG5" s="16"/>
      <c r="BDH5" s="16"/>
      <c r="BDI5" s="16"/>
      <c r="BDJ5" s="16"/>
      <c r="BDK5" s="16"/>
      <c r="BDL5" s="16"/>
      <c r="BDM5" s="16"/>
      <c r="BDN5" s="16"/>
      <c r="BDO5" s="16"/>
      <c r="BDP5" s="16"/>
      <c r="BDQ5" s="16"/>
      <c r="BDR5" s="16"/>
      <c r="BDS5" s="16"/>
      <c r="BDT5" s="16"/>
      <c r="BDU5" s="16"/>
      <c r="BDV5" s="16"/>
      <c r="BDW5" s="16"/>
      <c r="BDX5" s="16"/>
      <c r="BDY5" s="16"/>
      <c r="BDZ5" s="16"/>
      <c r="BEA5" s="16"/>
      <c r="BEB5" s="16"/>
      <c r="BEC5" s="16"/>
      <c r="BED5" s="16"/>
      <c r="BEE5" s="16"/>
      <c r="BEF5" s="16"/>
      <c r="BEG5" s="16"/>
      <c r="BEH5" s="16"/>
      <c r="BEI5" s="16"/>
      <c r="BEJ5" s="16"/>
      <c r="BEK5" s="16"/>
      <c r="BEL5" s="16"/>
      <c r="BEM5" s="16"/>
      <c r="BEN5" s="16"/>
      <c r="BEO5" s="16"/>
      <c r="BEP5" s="16"/>
      <c r="BEQ5" s="16"/>
      <c r="BER5" s="16"/>
      <c r="BES5" s="16"/>
      <c r="BET5" s="16"/>
    </row>
    <row r="6" spans="1:1502" x14ac:dyDescent="0.35">
      <c r="H6"/>
      <c r="I6"/>
    </row>
    <row r="7" spans="1:1502" x14ac:dyDescent="0.35">
      <c r="H7"/>
      <c r="I7"/>
    </row>
    <row r="8" spans="1:1502" x14ac:dyDescent="0.35">
      <c r="H8"/>
      <c r="I8"/>
    </row>
    <row r="9" spans="1:1502" x14ac:dyDescent="0.35">
      <c r="H9"/>
      <c r="I9"/>
    </row>
    <row r="10" spans="1:1502" x14ac:dyDescent="0.35">
      <c r="H10"/>
      <c r="I10"/>
    </row>
    <row r="11" spans="1:1502" x14ac:dyDescent="0.35">
      <c r="H11"/>
      <c r="I11"/>
    </row>
    <row r="12" spans="1:1502" x14ac:dyDescent="0.35">
      <c r="H12"/>
      <c r="I12"/>
    </row>
    <row r="13" spans="1:1502" x14ac:dyDescent="0.35">
      <c r="H13"/>
      <c r="I13"/>
    </row>
    <row r="14" spans="1:1502" x14ac:dyDescent="0.35">
      <c r="H14"/>
      <c r="I14"/>
    </row>
    <row r="15" spans="1:1502" x14ac:dyDescent="0.35">
      <c r="H15"/>
      <c r="I15"/>
    </row>
    <row r="16" spans="1:1502" x14ac:dyDescent="0.35">
      <c r="H16"/>
      <c r="I16"/>
    </row>
    <row r="17" spans="2:9" x14ac:dyDescent="0.35">
      <c r="B17"/>
      <c r="C17"/>
      <c r="D17"/>
      <c r="E17"/>
      <c r="F17"/>
      <c r="G17"/>
      <c r="H17"/>
      <c r="I17"/>
    </row>
    <row r="18" spans="2:9" x14ac:dyDescent="0.35">
      <c r="B18"/>
      <c r="C18"/>
      <c r="D18"/>
      <c r="E18"/>
      <c r="F18"/>
      <c r="G18"/>
      <c r="H18"/>
      <c r="I18"/>
    </row>
    <row r="19" spans="2:9" x14ac:dyDescent="0.35">
      <c r="B19"/>
      <c r="C19"/>
      <c r="D19"/>
      <c r="E19"/>
      <c r="F19"/>
      <c r="G19"/>
      <c r="H19"/>
      <c r="I19"/>
    </row>
    <row r="20" spans="2:9" x14ac:dyDescent="0.35">
      <c r="B20"/>
      <c r="C20"/>
      <c r="D20"/>
      <c r="E20"/>
      <c r="F20"/>
      <c r="G20"/>
      <c r="H20"/>
      <c r="I20"/>
    </row>
    <row r="21" spans="2:9" x14ac:dyDescent="0.35">
      <c r="B21"/>
      <c r="C21"/>
      <c r="D21"/>
      <c r="E21"/>
      <c r="F21"/>
      <c r="G21"/>
      <c r="H21"/>
      <c r="I21"/>
    </row>
    <row r="22" spans="2:9" x14ac:dyDescent="0.35">
      <c r="B22"/>
      <c r="C22"/>
      <c r="D22"/>
      <c r="E22"/>
      <c r="F22"/>
      <c r="G22"/>
      <c r="H22"/>
      <c r="I22"/>
    </row>
    <row r="23" spans="2:9" x14ac:dyDescent="0.35">
      <c r="B23"/>
      <c r="C23"/>
      <c r="D23"/>
      <c r="E23"/>
      <c r="F23"/>
      <c r="G23"/>
      <c r="H23"/>
      <c r="I23"/>
    </row>
    <row r="24" spans="2:9" x14ac:dyDescent="0.35">
      <c r="B24"/>
      <c r="C24"/>
      <c r="D24"/>
      <c r="E24"/>
      <c r="F24"/>
      <c r="G24"/>
      <c r="H24"/>
      <c r="I24"/>
    </row>
    <row r="25" spans="2:9" x14ac:dyDescent="0.35">
      <c r="B25"/>
      <c r="C25"/>
      <c r="D25"/>
      <c r="E25"/>
      <c r="F25"/>
      <c r="G25"/>
      <c r="H25"/>
      <c r="I25"/>
    </row>
  </sheetData>
  <mergeCells count="1501">
    <mergeCell ref="BEQ4:BEQ5"/>
    <mergeCell ref="BER4:BER5"/>
    <mergeCell ref="BES4:BES5"/>
    <mergeCell ref="BET4:BET5"/>
    <mergeCell ref="BEK4:BEK5"/>
    <mergeCell ref="BEL4:BEL5"/>
    <mergeCell ref="BEM4:BEM5"/>
    <mergeCell ref="BEN4:BEN5"/>
    <mergeCell ref="BEO4:BEO5"/>
    <mergeCell ref="BEP4:BEP5"/>
    <mergeCell ref="BEE4:BEE5"/>
    <mergeCell ref="BEF4:BEF5"/>
    <mergeCell ref="BEG4:BEG5"/>
    <mergeCell ref="BEH4:BEH5"/>
    <mergeCell ref="BEI4:BEI5"/>
    <mergeCell ref="BEJ4:BEJ5"/>
    <mergeCell ref="BDY4:BDY5"/>
    <mergeCell ref="BDZ4:BDZ5"/>
    <mergeCell ref="BEA4:BEA5"/>
    <mergeCell ref="BEB4:BEB5"/>
    <mergeCell ref="BEC4:BEC5"/>
    <mergeCell ref="BED4:BED5"/>
    <mergeCell ref="BDS4:BDS5"/>
    <mergeCell ref="BDT4:BDT5"/>
    <mergeCell ref="BDU4:BDU5"/>
    <mergeCell ref="BDV4:BDV5"/>
    <mergeCell ref="BDW4:BDW5"/>
    <mergeCell ref="BDX4:BDX5"/>
    <mergeCell ref="BDM4:BDM5"/>
    <mergeCell ref="BDN4:BDN5"/>
    <mergeCell ref="BDO4:BDO5"/>
    <mergeCell ref="BDP4:BDP5"/>
    <mergeCell ref="BDQ4:BDQ5"/>
    <mergeCell ref="BDR4:BDR5"/>
    <mergeCell ref="BDG4:BDG5"/>
    <mergeCell ref="BDH4:BDH5"/>
    <mergeCell ref="BDI4:BDI5"/>
    <mergeCell ref="BDJ4:BDJ5"/>
    <mergeCell ref="BDK4:BDK5"/>
    <mergeCell ref="BDL4:BDL5"/>
    <mergeCell ref="BDA4:BDA5"/>
    <mergeCell ref="BDB4:BDB5"/>
    <mergeCell ref="BDC4:BDC5"/>
    <mergeCell ref="BDD4:BDD5"/>
    <mergeCell ref="BDE4:BDE5"/>
    <mergeCell ref="BDF4:BDF5"/>
    <mergeCell ref="BCU4:BCU5"/>
    <mergeCell ref="BCV4:BCV5"/>
    <mergeCell ref="BCW4:BCW5"/>
    <mergeCell ref="BCX4:BCX5"/>
    <mergeCell ref="BCY4:BCY5"/>
    <mergeCell ref="BCZ4:BCZ5"/>
    <mergeCell ref="BCO4:BCO5"/>
    <mergeCell ref="BCP4:BCP5"/>
    <mergeCell ref="BCQ4:BCQ5"/>
    <mergeCell ref="BCR4:BCR5"/>
    <mergeCell ref="BCS4:BCS5"/>
    <mergeCell ref="BCT4:BCT5"/>
    <mergeCell ref="BCI4:BCI5"/>
    <mergeCell ref="BCJ4:BCJ5"/>
    <mergeCell ref="BCK4:BCK5"/>
    <mergeCell ref="BCL4:BCL5"/>
    <mergeCell ref="BCM4:BCM5"/>
    <mergeCell ref="BCN4:BCN5"/>
    <mergeCell ref="BCC4:BCC5"/>
    <mergeCell ref="BCD4:BCD5"/>
    <mergeCell ref="BCE4:BCE5"/>
    <mergeCell ref="BCF4:BCF5"/>
    <mergeCell ref="BCG4:BCG5"/>
    <mergeCell ref="BCH4:BCH5"/>
    <mergeCell ref="BBW4:BBW5"/>
    <mergeCell ref="BBX4:BBX5"/>
    <mergeCell ref="BBY4:BBY5"/>
    <mergeCell ref="BBZ4:BBZ5"/>
    <mergeCell ref="BCA4:BCA5"/>
    <mergeCell ref="BCB4:BCB5"/>
    <mergeCell ref="BBQ4:BBQ5"/>
    <mergeCell ref="BBR4:BBR5"/>
    <mergeCell ref="BBS4:BBS5"/>
    <mergeCell ref="BBT4:BBT5"/>
    <mergeCell ref="BBU4:BBU5"/>
    <mergeCell ref="BBV4:BBV5"/>
    <mergeCell ref="BBK4:BBK5"/>
    <mergeCell ref="BBL4:BBL5"/>
    <mergeCell ref="BBM4:BBM5"/>
    <mergeCell ref="BBN4:BBN5"/>
    <mergeCell ref="BBO4:BBO5"/>
    <mergeCell ref="BBP4:BBP5"/>
    <mergeCell ref="BBE4:BBE5"/>
    <mergeCell ref="BBF4:BBF5"/>
    <mergeCell ref="BBG4:BBG5"/>
    <mergeCell ref="BBH4:BBH5"/>
    <mergeCell ref="BBI4:BBI5"/>
    <mergeCell ref="BBJ4:BBJ5"/>
    <mergeCell ref="BAY4:BAY5"/>
    <mergeCell ref="BAZ4:BAZ5"/>
    <mergeCell ref="BBA4:BBA5"/>
    <mergeCell ref="BBB4:BBB5"/>
    <mergeCell ref="BBC4:BBC5"/>
    <mergeCell ref="BBD4:BBD5"/>
    <mergeCell ref="BAS4:BAS5"/>
    <mergeCell ref="BAT4:BAT5"/>
    <mergeCell ref="BAU4:BAU5"/>
    <mergeCell ref="BAV4:BAV5"/>
    <mergeCell ref="BAW4:BAW5"/>
    <mergeCell ref="BAX4:BAX5"/>
    <mergeCell ref="BAM4:BAM5"/>
    <mergeCell ref="BAN4:BAN5"/>
    <mergeCell ref="BAO4:BAO5"/>
    <mergeCell ref="BAP4:BAP5"/>
    <mergeCell ref="BAQ4:BAQ5"/>
    <mergeCell ref="BAR4:BAR5"/>
    <mergeCell ref="BAG4:BAG5"/>
    <mergeCell ref="BAH4:BAH5"/>
    <mergeCell ref="BAI4:BAI5"/>
    <mergeCell ref="BAJ4:BAJ5"/>
    <mergeCell ref="BAK4:BAK5"/>
    <mergeCell ref="BAL4:BAL5"/>
    <mergeCell ref="BAA4:BAA5"/>
    <mergeCell ref="BAB4:BAB5"/>
    <mergeCell ref="BAC4:BAC5"/>
    <mergeCell ref="BAD4:BAD5"/>
    <mergeCell ref="BAE4:BAE5"/>
    <mergeCell ref="BAF4:BAF5"/>
    <mergeCell ref="AZU4:AZU5"/>
    <mergeCell ref="AZV4:AZV5"/>
    <mergeCell ref="AZW4:AZW5"/>
    <mergeCell ref="AZX4:AZX5"/>
    <mergeCell ref="AZY4:AZY5"/>
    <mergeCell ref="AZZ4:AZZ5"/>
    <mergeCell ref="AZO4:AZO5"/>
    <mergeCell ref="AZP4:AZP5"/>
    <mergeCell ref="AZQ4:AZQ5"/>
    <mergeCell ref="AZR4:AZR5"/>
    <mergeCell ref="AZS4:AZS5"/>
    <mergeCell ref="AZT4:AZT5"/>
    <mergeCell ref="AZI4:AZI5"/>
    <mergeCell ref="AZJ4:AZJ5"/>
    <mergeCell ref="AZK4:AZK5"/>
    <mergeCell ref="AZL4:AZL5"/>
    <mergeCell ref="AZM4:AZM5"/>
    <mergeCell ref="AZN4:AZN5"/>
    <mergeCell ref="AZC4:AZC5"/>
    <mergeCell ref="AZD4:AZD5"/>
    <mergeCell ref="AZE4:AZE5"/>
    <mergeCell ref="AZF4:AZF5"/>
    <mergeCell ref="AZG4:AZG5"/>
    <mergeCell ref="AZH4:AZH5"/>
    <mergeCell ref="AYW4:AYW5"/>
    <mergeCell ref="AYX4:AYX5"/>
    <mergeCell ref="AYY4:AYY5"/>
    <mergeCell ref="AYZ4:AYZ5"/>
    <mergeCell ref="AZA4:AZA5"/>
    <mergeCell ref="AZB4:AZB5"/>
    <mergeCell ref="AYQ4:AYQ5"/>
    <mergeCell ref="AYR4:AYR5"/>
    <mergeCell ref="AYS4:AYS5"/>
    <mergeCell ref="AYT4:AYT5"/>
    <mergeCell ref="AYU4:AYU5"/>
    <mergeCell ref="AYV4:AYV5"/>
    <mergeCell ref="AYK4:AYK5"/>
    <mergeCell ref="AYL4:AYL5"/>
    <mergeCell ref="AYM4:AYM5"/>
    <mergeCell ref="AYN4:AYN5"/>
    <mergeCell ref="AYO4:AYO5"/>
    <mergeCell ref="AYP4:AYP5"/>
    <mergeCell ref="AYE4:AYE5"/>
    <mergeCell ref="AYF4:AYF5"/>
    <mergeCell ref="AYG4:AYG5"/>
    <mergeCell ref="AYH4:AYH5"/>
    <mergeCell ref="AYI4:AYI5"/>
    <mergeCell ref="AYJ4:AYJ5"/>
    <mergeCell ref="AXY4:AXY5"/>
    <mergeCell ref="AXZ4:AXZ5"/>
    <mergeCell ref="AYA4:AYA5"/>
    <mergeCell ref="AYB4:AYB5"/>
    <mergeCell ref="AYC4:AYC5"/>
    <mergeCell ref="AYD4:AYD5"/>
    <mergeCell ref="AXS4:AXS5"/>
    <mergeCell ref="AXT4:AXT5"/>
    <mergeCell ref="AXU4:AXU5"/>
    <mergeCell ref="AXV4:AXV5"/>
    <mergeCell ref="AXW4:AXW5"/>
    <mergeCell ref="AXX4:AXX5"/>
    <mergeCell ref="AXM4:AXM5"/>
    <mergeCell ref="AXN4:AXN5"/>
    <mergeCell ref="AXO4:AXO5"/>
    <mergeCell ref="AXP4:AXP5"/>
    <mergeCell ref="AXQ4:AXQ5"/>
    <mergeCell ref="AXR4:AXR5"/>
    <mergeCell ref="AXG4:AXG5"/>
    <mergeCell ref="AXH4:AXH5"/>
    <mergeCell ref="AXI4:AXI5"/>
    <mergeCell ref="AXJ4:AXJ5"/>
    <mergeCell ref="AXK4:AXK5"/>
    <mergeCell ref="AXL4:AXL5"/>
    <mergeCell ref="AXA4:AXA5"/>
    <mergeCell ref="AXB4:AXB5"/>
    <mergeCell ref="AXC4:AXC5"/>
    <mergeCell ref="AXD4:AXD5"/>
    <mergeCell ref="AXE4:AXE5"/>
    <mergeCell ref="AXF4:AXF5"/>
    <mergeCell ref="AWU4:AWU5"/>
    <mergeCell ref="AWV4:AWV5"/>
    <mergeCell ref="AWW4:AWW5"/>
    <mergeCell ref="AWX4:AWX5"/>
    <mergeCell ref="AWY4:AWY5"/>
    <mergeCell ref="AWZ4:AWZ5"/>
    <mergeCell ref="AWO4:AWO5"/>
    <mergeCell ref="AWP4:AWP5"/>
    <mergeCell ref="AWQ4:AWQ5"/>
    <mergeCell ref="AWR4:AWR5"/>
    <mergeCell ref="AWS4:AWS5"/>
    <mergeCell ref="AWT4:AWT5"/>
    <mergeCell ref="AWI4:AWI5"/>
    <mergeCell ref="AWJ4:AWJ5"/>
    <mergeCell ref="AWK4:AWK5"/>
    <mergeCell ref="AWL4:AWL5"/>
    <mergeCell ref="AWM4:AWM5"/>
    <mergeCell ref="AWN4:AWN5"/>
    <mergeCell ref="AWC4:AWC5"/>
    <mergeCell ref="AWD4:AWD5"/>
    <mergeCell ref="AWE4:AWE5"/>
    <mergeCell ref="AWF4:AWF5"/>
    <mergeCell ref="AWG4:AWG5"/>
    <mergeCell ref="AWH4:AWH5"/>
    <mergeCell ref="AVW4:AVW5"/>
    <mergeCell ref="AVX4:AVX5"/>
    <mergeCell ref="AVY4:AVY5"/>
    <mergeCell ref="AVZ4:AVZ5"/>
    <mergeCell ref="AWA4:AWA5"/>
    <mergeCell ref="AWB4:AWB5"/>
    <mergeCell ref="AVQ4:AVQ5"/>
    <mergeCell ref="AVR4:AVR5"/>
    <mergeCell ref="AVS4:AVS5"/>
    <mergeCell ref="AVT4:AVT5"/>
    <mergeCell ref="AVU4:AVU5"/>
    <mergeCell ref="AVV4:AVV5"/>
    <mergeCell ref="AVK4:AVK5"/>
    <mergeCell ref="AVL4:AVL5"/>
    <mergeCell ref="AVM4:AVM5"/>
    <mergeCell ref="AVN4:AVN5"/>
    <mergeCell ref="AVO4:AVO5"/>
    <mergeCell ref="AVP4:AVP5"/>
    <mergeCell ref="AVE4:AVE5"/>
    <mergeCell ref="AVF4:AVF5"/>
    <mergeCell ref="AVG4:AVG5"/>
    <mergeCell ref="AVH4:AVH5"/>
    <mergeCell ref="AVI4:AVI5"/>
    <mergeCell ref="AVJ4:AVJ5"/>
    <mergeCell ref="AUY4:AUY5"/>
    <mergeCell ref="AUZ4:AUZ5"/>
    <mergeCell ref="AVA4:AVA5"/>
    <mergeCell ref="AVB4:AVB5"/>
    <mergeCell ref="AVC4:AVC5"/>
    <mergeCell ref="AVD4:AVD5"/>
    <mergeCell ref="AUS4:AUS5"/>
    <mergeCell ref="AUT4:AUT5"/>
    <mergeCell ref="AUU4:AUU5"/>
    <mergeCell ref="AUV4:AUV5"/>
    <mergeCell ref="AUW4:AUW5"/>
    <mergeCell ref="AUX4:AUX5"/>
    <mergeCell ref="AUM4:AUM5"/>
    <mergeCell ref="AUN4:AUN5"/>
    <mergeCell ref="AUO4:AUO5"/>
    <mergeCell ref="AUP4:AUP5"/>
    <mergeCell ref="AUQ4:AUQ5"/>
    <mergeCell ref="AUR4:AUR5"/>
    <mergeCell ref="AUG4:AUG5"/>
    <mergeCell ref="AUH4:AUH5"/>
    <mergeCell ref="AUI4:AUI5"/>
    <mergeCell ref="AUJ4:AUJ5"/>
    <mergeCell ref="AUK4:AUK5"/>
    <mergeCell ref="AUL4:AUL5"/>
    <mergeCell ref="AUA4:AUA5"/>
    <mergeCell ref="AUB4:AUB5"/>
    <mergeCell ref="AUC4:AUC5"/>
    <mergeCell ref="AUD4:AUD5"/>
    <mergeCell ref="AUE4:AUE5"/>
    <mergeCell ref="AUF4:AUF5"/>
    <mergeCell ref="ATU4:ATU5"/>
    <mergeCell ref="ATV4:ATV5"/>
    <mergeCell ref="ATW4:ATW5"/>
    <mergeCell ref="ATX4:ATX5"/>
    <mergeCell ref="ATY4:ATY5"/>
    <mergeCell ref="ATZ4:ATZ5"/>
    <mergeCell ref="ATO4:ATO5"/>
    <mergeCell ref="ATP4:ATP5"/>
    <mergeCell ref="ATQ4:ATQ5"/>
    <mergeCell ref="ATR4:ATR5"/>
    <mergeCell ref="ATS4:ATS5"/>
    <mergeCell ref="ATT4:ATT5"/>
    <mergeCell ref="ATI4:ATI5"/>
    <mergeCell ref="ATJ4:ATJ5"/>
    <mergeCell ref="ATK4:ATK5"/>
    <mergeCell ref="ATL4:ATL5"/>
    <mergeCell ref="ATM4:ATM5"/>
    <mergeCell ref="ATN4:ATN5"/>
    <mergeCell ref="ATC4:ATC5"/>
    <mergeCell ref="ATD4:ATD5"/>
    <mergeCell ref="ATE4:ATE5"/>
    <mergeCell ref="ATF4:ATF5"/>
    <mergeCell ref="ATG4:ATG5"/>
    <mergeCell ref="ATH4:ATH5"/>
    <mergeCell ref="ASW4:ASW5"/>
    <mergeCell ref="ASX4:ASX5"/>
    <mergeCell ref="ASY4:ASY5"/>
    <mergeCell ref="ASZ4:ASZ5"/>
    <mergeCell ref="ATA4:ATA5"/>
    <mergeCell ref="ATB4:ATB5"/>
    <mergeCell ref="ASQ4:ASQ5"/>
    <mergeCell ref="ASR4:ASR5"/>
    <mergeCell ref="ASS4:ASS5"/>
    <mergeCell ref="AST4:AST5"/>
    <mergeCell ref="ASU4:ASU5"/>
    <mergeCell ref="ASV4:ASV5"/>
    <mergeCell ref="ASK4:ASK5"/>
    <mergeCell ref="ASL4:ASL5"/>
    <mergeCell ref="ASM4:ASM5"/>
    <mergeCell ref="ASN4:ASN5"/>
    <mergeCell ref="ASO4:ASO5"/>
    <mergeCell ref="ASP4:ASP5"/>
    <mergeCell ref="ASE4:ASE5"/>
    <mergeCell ref="ASF4:ASF5"/>
    <mergeCell ref="ASG4:ASG5"/>
    <mergeCell ref="ASH4:ASH5"/>
    <mergeCell ref="ASI4:ASI5"/>
    <mergeCell ref="ASJ4:ASJ5"/>
    <mergeCell ref="ARY4:ARY5"/>
    <mergeCell ref="ARZ4:ARZ5"/>
    <mergeCell ref="ASA4:ASA5"/>
    <mergeCell ref="ASB4:ASB5"/>
    <mergeCell ref="ASC4:ASC5"/>
    <mergeCell ref="ASD4:ASD5"/>
    <mergeCell ref="ARS4:ARS5"/>
    <mergeCell ref="ART4:ART5"/>
    <mergeCell ref="ARU4:ARU5"/>
    <mergeCell ref="ARV4:ARV5"/>
    <mergeCell ref="ARW4:ARW5"/>
    <mergeCell ref="ARX4:ARX5"/>
    <mergeCell ref="ARM4:ARM5"/>
    <mergeCell ref="ARN4:ARN5"/>
    <mergeCell ref="ARO4:ARO5"/>
    <mergeCell ref="ARP4:ARP5"/>
    <mergeCell ref="ARQ4:ARQ5"/>
    <mergeCell ref="ARR4:ARR5"/>
    <mergeCell ref="ARG4:ARG5"/>
    <mergeCell ref="ARH4:ARH5"/>
    <mergeCell ref="ARI4:ARI5"/>
    <mergeCell ref="ARJ4:ARJ5"/>
    <mergeCell ref="ARK4:ARK5"/>
    <mergeCell ref="ARL4:ARL5"/>
    <mergeCell ref="ARA4:ARA5"/>
    <mergeCell ref="ARB4:ARB5"/>
    <mergeCell ref="ARC4:ARC5"/>
    <mergeCell ref="ARD4:ARD5"/>
    <mergeCell ref="ARE4:ARE5"/>
    <mergeCell ref="ARF4:ARF5"/>
    <mergeCell ref="AQU4:AQU5"/>
    <mergeCell ref="AQV4:AQV5"/>
    <mergeCell ref="AQW4:AQW5"/>
    <mergeCell ref="AQX4:AQX5"/>
    <mergeCell ref="AQY4:AQY5"/>
    <mergeCell ref="AQZ4:AQZ5"/>
    <mergeCell ref="AQO4:AQO5"/>
    <mergeCell ref="AQP4:AQP5"/>
    <mergeCell ref="AQQ4:AQQ5"/>
    <mergeCell ref="AQR4:AQR5"/>
    <mergeCell ref="AQS4:AQS5"/>
    <mergeCell ref="AQT4:AQT5"/>
    <mergeCell ref="AQI4:AQI5"/>
    <mergeCell ref="AQJ4:AQJ5"/>
    <mergeCell ref="AQK4:AQK5"/>
    <mergeCell ref="AQL4:AQL5"/>
    <mergeCell ref="AQM4:AQM5"/>
    <mergeCell ref="AQN4:AQN5"/>
    <mergeCell ref="AQC4:AQC5"/>
    <mergeCell ref="AQD4:AQD5"/>
    <mergeCell ref="AQE4:AQE5"/>
    <mergeCell ref="AQF4:AQF5"/>
    <mergeCell ref="AQG4:AQG5"/>
    <mergeCell ref="AQH4:AQH5"/>
    <mergeCell ref="APW4:APW5"/>
    <mergeCell ref="APX4:APX5"/>
    <mergeCell ref="APY4:APY5"/>
    <mergeCell ref="APZ4:APZ5"/>
    <mergeCell ref="AQA4:AQA5"/>
    <mergeCell ref="AQB4:AQB5"/>
    <mergeCell ref="APQ4:APQ5"/>
    <mergeCell ref="APR4:APR5"/>
    <mergeCell ref="APS4:APS5"/>
    <mergeCell ref="APT4:APT5"/>
    <mergeCell ref="APU4:APU5"/>
    <mergeCell ref="APV4:APV5"/>
    <mergeCell ref="APK4:APK5"/>
    <mergeCell ref="APL4:APL5"/>
    <mergeCell ref="APM4:APM5"/>
    <mergeCell ref="APN4:APN5"/>
    <mergeCell ref="APO4:APO5"/>
    <mergeCell ref="APP4:APP5"/>
    <mergeCell ref="APE4:APE5"/>
    <mergeCell ref="APF4:APF5"/>
    <mergeCell ref="APG4:APG5"/>
    <mergeCell ref="APH4:APH5"/>
    <mergeCell ref="API4:API5"/>
    <mergeCell ref="APJ4:APJ5"/>
    <mergeCell ref="AOY4:AOY5"/>
    <mergeCell ref="AOZ4:AOZ5"/>
    <mergeCell ref="APA4:APA5"/>
    <mergeCell ref="APB4:APB5"/>
    <mergeCell ref="APC4:APC5"/>
    <mergeCell ref="APD4:APD5"/>
    <mergeCell ref="AOS4:AOS5"/>
    <mergeCell ref="AOT4:AOT5"/>
    <mergeCell ref="AOU4:AOU5"/>
    <mergeCell ref="AOV4:AOV5"/>
    <mergeCell ref="AOW4:AOW5"/>
    <mergeCell ref="AOX4:AOX5"/>
    <mergeCell ref="AOM4:AOM5"/>
    <mergeCell ref="AON4:AON5"/>
    <mergeCell ref="AOO4:AOO5"/>
    <mergeCell ref="AOP4:AOP5"/>
    <mergeCell ref="AOQ4:AOQ5"/>
    <mergeCell ref="AOR4:AOR5"/>
    <mergeCell ref="AOG4:AOG5"/>
    <mergeCell ref="AOH4:AOH5"/>
    <mergeCell ref="AOI4:AOI5"/>
    <mergeCell ref="AOJ4:AOJ5"/>
    <mergeCell ref="AOK4:AOK5"/>
    <mergeCell ref="AOL4:AOL5"/>
    <mergeCell ref="AOA4:AOA5"/>
    <mergeCell ref="AOB4:AOB5"/>
    <mergeCell ref="AOC4:AOC5"/>
    <mergeCell ref="AOD4:AOD5"/>
    <mergeCell ref="AOE4:AOE5"/>
    <mergeCell ref="AOF4:AOF5"/>
    <mergeCell ref="ANU4:ANU5"/>
    <mergeCell ref="ANV4:ANV5"/>
    <mergeCell ref="ANW4:ANW5"/>
    <mergeCell ref="ANX4:ANX5"/>
    <mergeCell ref="ANY4:ANY5"/>
    <mergeCell ref="ANZ4:ANZ5"/>
    <mergeCell ref="ANO4:ANO5"/>
    <mergeCell ref="ANP4:ANP5"/>
    <mergeCell ref="ANQ4:ANQ5"/>
    <mergeCell ref="ANR4:ANR5"/>
    <mergeCell ref="ANS4:ANS5"/>
    <mergeCell ref="ANT4:ANT5"/>
    <mergeCell ref="ANI4:ANI5"/>
    <mergeCell ref="ANJ4:ANJ5"/>
    <mergeCell ref="ANK4:ANK5"/>
    <mergeCell ref="ANL4:ANL5"/>
    <mergeCell ref="ANM4:ANM5"/>
    <mergeCell ref="ANN4:ANN5"/>
    <mergeCell ref="ANC4:ANC5"/>
    <mergeCell ref="AND4:AND5"/>
    <mergeCell ref="ANE4:ANE5"/>
    <mergeCell ref="ANF4:ANF5"/>
    <mergeCell ref="ANG4:ANG5"/>
    <mergeCell ref="ANH4:ANH5"/>
    <mergeCell ref="AMW4:AMW5"/>
    <mergeCell ref="AMX4:AMX5"/>
    <mergeCell ref="AMY4:AMY5"/>
    <mergeCell ref="AMZ4:AMZ5"/>
    <mergeCell ref="ANA4:ANA5"/>
    <mergeCell ref="ANB4:ANB5"/>
    <mergeCell ref="AMQ4:AMQ5"/>
    <mergeCell ref="AMR4:AMR5"/>
    <mergeCell ref="AMS4:AMS5"/>
    <mergeCell ref="AMT4:AMT5"/>
    <mergeCell ref="AMU4:AMU5"/>
    <mergeCell ref="AMV4:AMV5"/>
    <mergeCell ref="AMK4:AMK5"/>
    <mergeCell ref="AML4:AML5"/>
    <mergeCell ref="AMM4:AMM5"/>
    <mergeCell ref="AMN4:AMN5"/>
    <mergeCell ref="AMO4:AMO5"/>
    <mergeCell ref="AMP4:AMP5"/>
    <mergeCell ref="AME4:AME5"/>
    <mergeCell ref="AMF4:AMF5"/>
    <mergeCell ref="AMG4:AMG5"/>
    <mergeCell ref="AMH4:AMH5"/>
    <mergeCell ref="AMI4:AMI5"/>
    <mergeCell ref="AMJ4:AMJ5"/>
    <mergeCell ref="ALY4:ALY5"/>
    <mergeCell ref="ALZ4:ALZ5"/>
    <mergeCell ref="AMA4:AMA5"/>
    <mergeCell ref="AMB4:AMB5"/>
    <mergeCell ref="AMC4:AMC5"/>
    <mergeCell ref="AMD4:AMD5"/>
    <mergeCell ref="ALS4:ALS5"/>
    <mergeCell ref="ALT4:ALT5"/>
    <mergeCell ref="ALU4:ALU5"/>
    <mergeCell ref="ALV4:ALV5"/>
    <mergeCell ref="ALW4:ALW5"/>
    <mergeCell ref="ALX4:ALX5"/>
    <mergeCell ref="ALM4:ALM5"/>
    <mergeCell ref="ALN4:ALN5"/>
    <mergeCell ref="ALO4:ALO5"/>
    <mergeCell ref="ALP4:ALP5"/>
    <mergeCell ref="ALQ4:ALQ5"/>
    <mergeCell ref="ALR4:ALR5"/>
    <mergeCell ref="ALG4:ALG5"/>
    <mergeCell ref="ALH4:ALH5"/>
    <mergeCell ref="ALI4:ALI5"/>
    <mergeCell ref="ALJ4:ALJ5"/>
    <mergeCell ref="ALK4:ALK5"/>
    <mergeCell ref="ALL4:ALL5"/>
    <mergeCell ref="ALA4:ALA5"/>
    <mergeCell ref="ALB4:ALB5"/>
    <mergeCell ref="ALC4:ALC5"/>
    <mergeCell ref="ALD4:ALD5"/>
    <mergeCell ref="ALE4:ALE5"/>
    <mergeCell ref="ALF4:ALF5"/>
    <mergeCell ref="AKU4:AKU5"/>
    <mergeCell ref="AKV4:AKV5"/>
    <mergeCell ref="AKW4:AKW5"/>
    <mergeCell ref="AKX4:AKX5"/>
    <mergeCell ref="AKY4:AKY5"/>
    <mergeCell ref="AKZ4:AKZ5"/>
    <mergeCell ref="AKO4:AKO5"/>
    <mergeCell ref="AKP4:AKP5"/>
    <mergeCell ref="AKQ4:AKQ5"/>
    <mergeCell ref="AKR4:AKR5"/>
    <mergeCell ref="AKS4:AKS5"/>
    <mergeCell ref="AKT4:AKT5"/>
    <mergeCell ref="AKI4:AKI5"/>
    <mergeCell ref="AKJ4:AKJ5"/>
    <mergeCell ref="AKK4:AKK5"/>
    <mergeCell ref="AKL4:AKL5"/>
    <mergeCell ref="AKM4:AKM5"/>
    <mergeCell ref="AKN4:AKN5"/>
    <mergeCell ref="AKC4:AKC5"/>
    <mergeCell ref="AKD4:AKD5"/>
    <mergeCell ref="AKE4:AKE5"/>
    <mergeCell ref="AKF4:AKF5"/>
    <mergeCell ref="AKG4:AKG5"/>
    <mergeCell ref="AKH4:AKH5"/>
    <mergeCell ref="AJW4:AJW5"/>
    <mergeCell ref="AJX4:AJX5"/>
    <mergeCell ref="AJY4:AJY5"/>
    <mergeCell ref="AJZ4:AJZ5"/>
    <mergeCell ref="AKA4:AKA5"/>
    <mergeCell ref="AKB4:AKB5"/>
    <mergeCell ref="AJQ4:AJQ5"/>
    <mergeCell ref="AJR4:AJR5"/>
    <mergeCell ref="AJS4:AJS5"/>
    <mergeCell ref="AJT4:AJT5"/>
    <mergeCell ref="AJU4:AJU5"/>
    <mergeCell ref="AJV4:AJV5"/>
    <mergeCell ref="AJK4:AJK5"/>
    <mergeCell ref="AJL4:AJL5"/>
    <mergeCell ref="AJM4:AJM5"/>
    <mergeCell ref="AJN4:AJN5"/>
    <mergeCell ref="AJO4:AJO5"/>
    <mergeCell ref="AJP4:AJP5"/>
    <mergeCell ref="AJE4:AJE5"/>
    <mergeCell ref="AJF4:AJF5"/>
    <mergeCell ref="AJG4:AJG5"/>
    <mergeCell ref="AJH4:AJH5"/>
    <mergeCell ref="AJI4:AJI5"/>
    <mergeCell ref="AJJ4:AJJ5"/>
    <mergeCell ref="AIY4:AIY5"/>
    <mergeCell ref="AIZ4:AIZ5"/>
    <mergeCell ref="AJA4:AJA5"/>
    <mergeCell ref="AJB4:AJB5"/>
    <mergeCell ref="AJC4:AJC5"/>
    <mergeCell ref="AJD4:AJD5"/>
    <mergeCell ref="AIS4:AIS5"/>
    <mergeCell ref="AIT4:AIT5"/>
    <mergeCell ref="AIU4:AIU5"/>
    <mergeCell ref="AIV4:AIV5"/>
    <mergeCell ref="AIW4:AIW5"/>
    <mergeCell ref="AIX4:AIX5"/>
    <mergeCell ref="AIM4:AIM5"/>
    <mergeCell ref="AIN4:AIN5"/>
    <mergeCell ref="AIO4:AIO5"/>
    <mergeCell ref="AIP4:AIP5"/>
    <mergeCell ref="AIQ4:AIQ5"/>
    <mergeCell ref="AIR4:AIR5"/>
    <mergeCell ref="AIG4:AIG5"/>
    <mergeCell ref="AIH4:AIH5"/>
    <mergeCell ref="AII4:AII5"/>
    <mergeCell ref="AIJ4:AIJ5"/>
    <mergeCell ref="AIK4:AIK5"/>
    <mergeCell ref="AIL4:AIL5"/>
    <mergeCell ref="AIA4:AIA5"/>
    <mergeCell ref="AIB4:AIB5"/>
    <mergeCell ref="AIC4:AIC5"/>
    <mergeCell ref="AID4:AID5"/>
    <mergeCell ref="AIE4:AIE5"/>
    <mergeCell ref="AIF4:AIF5"/>
    <mergeCell ref="AHU4:AHU5"/>
    <mergeCell ref="AHV4:AHV5"/>
    <mergeCell ref="AHW4:AHW5"/>
    <mergeCell ref="AHX4:AHX5"/>
    <mergeCell ref="AHY4:AHY5"/>
    <mergeCell ref="AHZ4:AHZ5"/>
    <mergeCell ref="AHO4:AHO5"/>
    <mergeCell ref="AHP4:AHP5"/>
    <mergeCell ref="AHQ4:AHQ5"/>
    <mergeCell ref="AHR4:AHR5"/>
    <mergeCell ref="AHS4:AHS5"/>
    <mergeCell ref="AHT4:AHT5"/>
    <mergeCell ref="AHI4:AHI5"/>
    <mergeCell ref="AHJ4:AHJ5"/>
    <mergeCell ref="AHK4:AHK5"/>
    <mergeCell ref="AHL4:AHL5"/>
    <mergeCell ref="AHM4:AHM5"/>
    <mergeCell ref="AHN4:AHN5"/>
    <mergeCell ref="AHC4:AHC5"/>
    <mergeCell ref="AHD4:AHD5"/>
    <mergeCell ref="AHE4:AHE5"/>
    <mergeCell ref="AHF4:AHF5"/>
    <mergeCell ref="AHG4:AHG5"/>
    <mergeCell ref="AHH4:AHH5"/>
    <mergeCell ref="AGW4:AGW5"/>
    <mergeCell ref="AGX4:AGX5"/>
    <mergeCell ref="AGY4:AGY5"/>
    <mergeCell ref="AGZ4:AGZ5"/>
    <mergeCell ref="AHA4:AHA5"/>
    <mergeCell ref="AHB4:AHB5"/>
    <mergeCell ref="AGQ4:AGQ5"/>
    <mergeCell ref="AGR4:AGR5"/>
    <mergeCell ref="AGS4:AGS5"/>
    <mergeCell ref="AGT4:AGT5"/>
    <mergeCell ref="AGU4:AGU5"/>
    <mergeCell ref="AGV4:AGV5"/>
    <mergeCell ref="AGK4:AGK5"/>
    <mergeCell ref="AGL4:AGL5"/>
    <mergeCell ref="AGM4:AGM5"/>
    <mergeCell ref="AGN4:AGN5"/>
    <mergeCell ref="AGO4:AGO5"/>
    <mergeCell ref="AGP4:AGP5"/>
    <mergeCell ref="AGE4:AGE5"/>
    <mergeCell ref="AGF4:AGF5"/>
    <mergeCell ref="AGG4:AGG5"/>
    <mergeCell ref="AGH4:AGH5"/>
    <mergeCell ref="AGI4:AGI5"/>
    <mergeCell ref="AGJ4:AGJ5"/>
    <mergeCell ref="AFY4:AFY5"/>
    <mergeCell ref="AFZ4:AFZ5"/>
    <mergeCell ref="AGA4:AGA5"/>
    <mergeCell ref="AGB4:AGB5"/>
    <mergeCell ref="AGC4:AGC5"/>
    <mergeCell ref="AGD4:AGD5"/>
    <mergeCell ref="AFS4:AFS5"/>
    <mergeCell ref="AFT4:AFT5"/>
    <mergeCell ref="AFU4:AFU5"/>
    <mergeCell ref="AFV4:AFV5"/>
    <mergeCell ref="AFW4:AFW5"/>
    <mergeCell ref="AFX4:AFX5"/>
    <mergeCell ref="AFM4:AFM5"/>
    <mergeCell ref="AFN4:AFN5"/>
    <mergeCell ref="AFO4:AFO5"/>
    <mergeCell ref="AFP4:AFP5"/>
    <mergeCell ref="AFQ4:AFQ5"/>
    <mergeCell ref="AFR4:AFR5"/>
    <mergeCell ref="AFG4:AFG5"/>
    <mergeCell ref="AFH4:AFH5"/>
    <mergeCell ref="AFI4:AFI5"/>
    <mergeCell ref="AFJ4:AFJ5"/>
    <mergeCell ref="AFK4:AFK5"/>
    <mergeCell ref="AFL4:AFL5"/>
    <mergeCell ref="AFA4:AFA5"/>
    <mergeCell ref="AFB4:AFB5"/>
    <mergeCell ref="AFC4:AFC5"/>
    <mergeCell ref="AFD4:AFD5"/>
    <mergeCell ref="AFE4:AFE5"/>
    <mergeCell ref="AFF4:AFF5"/>
    <mergeCell ref="AEU4:AEU5"/>
    <mergeCell ref="AEV4:AEV5"/>
    <mergeCell ref="AEW4:AEW5"/>
    <mergeCell ref="AEX4:AEX5"/>
    <mergeCell ref="AEY4:AEY5"/>
    <mergeCell ref="AEZ4:AEZ5"/>
    <mergeCell ref="AEO4:AEO5"/>
    <mergeCell ref="AEP4:AEP5"/>
    <mergeCell ref="AEQ4:AEQ5"/>
    <mergeCell ref="AER4:AER5"/>
    <mergeCell ref="AES4:AES5"/>
    <mergeCell ref="AET4:AET5"/>
    <mergeCell ref="AEI4:AEI5"/>
    <mergeCell ref="AEJ4:AEJ5"/>
    <mergeCell ref="AEK4:AEK5"/>
    <mergeCell ref="AEL4:AEL5"/>
    <mergeCell ref="AEM4:AEM5"/>
    <mergeCell ref="AEN4:AEN5"/>
    <mergeCell ref="AEC4:AEC5"/>
    <mergeCell ref="AED4:AED5"/>
    <mergeCell ref="AEE4:AEE5"/>
    <mergeCell ref="AEF4:AEF5"/>
    <mergeCell ref="AEG4:AEG5"/>
    <mergeCell ref="AEH4:AEH5"/>
    <mergeCell ref="ADW4:ADW5"/>
    <mergeCell ref="ADX4:ADX5"/>
    <mergeCell ref="ADY4:ADY5"/>
    <mergeCell ref="ADZ4:ADZ5"/>
    <mergeCell ref="AEA4:AEA5"/>
    <mergeCell ref="AEB4:AEB5"/>
    <mergeCell ref="ADQ4:ADQ5"/>
    <mergeCell ref="ADR4:ADR5"/>
    <mergeCell ref="ADS4:ADS5"/>
    <mergeCell ref="ADT4:ADT5"/>
    <mergeCell ref="ADU4:ADU5"/>
    <mergeCell ref="ADV4:ADV5"/>
    <mergeCell ref="ADK4:ADK5"/>
    <mergeCell ref="ADL4:ADL5"/>
    <mergeCell ref="ADM4:ADM5"/>
    <mergeCell ref="ADN4:ADN5"/>
    <mergeCell ref="ADO4:ADO5"/>
    <mergeCell ref="ADP4:ADP5"/>
    <mergeCell ref="ADE4:ADE5"/>
    <mergeCell ref="ADF4:ADF5"/>
    <mergeCell ref="ADG4:ADG5"/>
    <mergeCell ref="ADH4:ADH5"/>
    <mergeCell ref="ADI4:ADI5"/>
    <mergeCell ref="ADJ4:ADJ5"/>
    <mergeCell ref="ACY4:ACY5"/>
    <mergeCell ref="ACZ4:ACZ5"/>
    <mergeCell ref="ADA4:ADA5"/>
    <mergeCell ref="ADB4:ADB5"/>
    <mergeCell ref="ADC4:ADC5"/>
    <mergeCell ref="ADD4:ADD5"/>
    <mergeCell ref="ACS4:ACS5"/>
    <mergeCell ref="ACT4:ACT5"/>
    <mergeCell ref="ACU4:ACU5"/>
    <mergeCell ref="ACV4:ACV5"/>
    <mergeCell ref="ACW4:ACW5"/>
    <mergeCell ref="ACX4:ACX5"/>
    <mergeCell ref="ACM4:ACM5"/>
    <mergeCell ref="ACN4:ACN5"/>
    <mergeCell ref="ACO4:ACO5"/>
    <mergeCell ref="ACP4:ACP5"/>
    <mergeCell ref="ACQ4:ACQ5"/>
    <mergeCell ref="ACR4:ACR5"/>
    <mergeCell ref="ACG4:ACG5"/>
    <mergeCell ref="ACH4:ACH5"/>
    <mergeCell ref="ACI4:ACI5"/>
    <mergeCell ref="ACJ4:ACJ5"/>
    <mergeCell ref="ACK4:ACK5"/>
    <mergeCell ref="ACL4:ACL5"/>
    <mergeCell ref="ACA4:ACA5"/>
    <mergeCell ref="ACB4:ACB5"/>
    <mergeCell ref="ACC4:ACC5"/>
    <mergeCell ref="ACD4:ACD5"/>
    <mergeCell ref="ACE4:ACE5"/>
    <mergeCell ref="ACF4:ACF5"/>
    <mergeCell ref="ABU4:ABU5"/>
    <mergeCell ref="ABV4:ABV5"/>
    <mergeCell ref="ABW4:ABW5"/>
    <mergeCell ref="ABX4:ABX5"/>
    <mergeCell ref="ABY4:ABY5"/>
    <mergeCell ref="ABZ4:ABZ5"/>
    <mergeCell ref="ABO4:ABO5"/>
    <mergeCell ref="ABP4:ABP5"/>
    <mergeCell ref="ABQ4:ABQ5"/>
    <mergeCell ref="ABR4:ABR5"/>
    <mergeCell ref="ABS4:ABS5"/>
    <mergeCell ref="ABT4:ABT5"/>
    <mergeCell ref="ABI4:ABI5"/>
    <mergeCell ref="ABJ4:ABJ5"/>
    <mergeCell ref="ABK4:ABK5"/>
    <mergeCell ref="ABL4:ABL5"/>
    <mergeCell ref="ABM4:ABM5"/>
    <mergeCell ref="ABN4:ABN5"/>
    <mergeCell ref="ABC4:ABC5"/>
    <mergeCell ref="ABD4:ABD5"/>
    <mergeCell ref="ABE4:ABE5"/>
    <mergeCell ref="ABF4:ABF5"/>
    <mergeCell ref="ABG4:ABG5"/>
    <mergeCell ref="ABH4:ABH5"/>
    <mergeCell ref="AAW4:AAW5"/>
    <mergeCell ref="AAX4:AAX5"/>
    <mergeCell ref="AAY4:AAY5"/>
    <mergeCell ref="AAZ4:AAZ5"/>
    <mergeCell ref="ABA4:ABA5"/>
    <mergeCell ref="ABB4:ABB5"/>
    <mergeCell ref="AAQ4:AAQ5"/>
    <mergeCell ref="AAR4:AAR5"/>
    <mergeCell ref="AAS4:AAS5"/>
    <mergeCell ref="AAT4:AAT5"/>
    <mergeCell ref="AAU4:AAU5"/>
    <mergeCell ref="AAV4:AAV5"/>
    <mergeCell ref="AAK4:AAK5"/>
    <mergeCell ref="AAL4:AAL5"/>
    <mergeCell ref="AAM4:AAM5"/>
    <mergeCell ref="AAN4:AAN5"/>
    <mergeCell ref="AAO4:AAO5"/>
    <mergeCell ref="AAP4:AAP5"/>
    <mergeCell ref="AAE4:AAE5"/>
    <mergeCell ref="AAF4:AAF5"/>
    <mergeCell ref="AAG4:AAG5"/>
    <mergeCell ref="AAH4:AAH5"/>
    <mergeCell ref="AAI4:AAI5"/>
    <mergeCell ref="AAJ4:AAJ5"/>
    <mergeCell ref="ZY4:ZY5"/>
    <mergeCell ref="ZZ4:ZZ5"/>
    <mergeCell ref="AAA4:AAA5"/>
    <mergeCell ref="AAB4:AAB5"/>
    <mergeCell ref="AAC4:AAC5"/>
    <mergeCell ref="AAD4:AAD5"/>
    <mergeCell ref="ZS4:ZS5"/>
    <mergeCell ref="ZT4:ZT5"/>
    <mergeCell ref="ZU4:ZU5"/>
    <mergeCell ref="ZV4:ZV5"/>
    <mergeCell ref="ZW4:ZW5"/>
    <mergeCell ref="ZX4:ZX5"/>
    <mergeCell ref="ZM4:ZM5"/>
    <mergeCell ref="ZN4:ZN5"/>
    <mergeCell ref="ZO4:ZO5"/>
    <mergeCell ref="ZP4:ZP5"/>
    <mergeCell ref="ZQ4:ZQ5"/>
    <mergeCell ref="ZR4:ZR5"/>
    <mergeCell ref="ZG4:ZG5"/>
    <mergeCell ref="ZH4:ZH5"/>
    <mergeCell ref="ZI4:ZI5"/>
    <mergeCell ref="ZJ4:ZJ5"/>
    <mergeCell ref="ZK4:ZK5"/>
    <mergeCell ref="ZL4:ZL5"/>
    <mergeCell ref="ZA4:ZA5"/>
    <mergeCell ref="ZB4:ZB5"/>
    <mergeCell ref="ZC4:ZC5"/>
    <mergeCell ref="ZD4:ZD5"/>
    <mergeCell ref="ZE4:ZE5"/>
    <mergeCell ref="ZF4:ZF5"/>
    <mergeCell ref="YU4:YU5"/>
    <mergeCell ref="YV4:YV5"/>
    <mergeCell ref="YW4:YW5"/>
    <mergeCell ref="YX4:YX5"/>
    <mergeCell ref="YY4:YY5"/>
    <mergeCell ref="YZ4:YZ5"/>
    <mergeCell ref="YO4:YO5"/>
    <mergeCell ref="YP4:YP5"/>
    <mergeCell ref="YQ4:YQ5"/>
    <mergeCell ref="YR4:YR5"/>
    <mergeCell ref="YS4:YS5"/>
    <mergeCell ref="YT4:YT5"/>
    <mergeCell ref="YI4:YI5"/>
    <mergeCell ref="YJ4:YJ5"/>
    <mergeCell ref="YK4:YK5"/>
    <mergeCell ref="YL4:YL5"/>
    <mergeCell ref="YM4:YM5"/>
    <mergeCell ref="YN4:YN5"/>
    <mergeCell ref="YC4:YC5"/>
    <mergeCell ref="YD4:YD5"/>
    <mergeCell ref="YE4:YE5"/>
    <mergeCell ref="YF4:YF5"/>
    <mergeCell ref="YG4:YG5"/>
    <mergeCell ref="YH4:YH5"/>
    <mergeCell ref="XW4:XW5"/>
    <mergeCell ref="XX4:XX5"/>
    <mergeCell ref="XY4:XY5"/>
    <mergeCell ref="XZ4:XZ5"/>
    <mergeCell ref="YA4:YA5"/>
    <mergeCell ref="YB4:YB5"/>
    <mergeCell ref="XQ4:XQ5"/>
    <mergeCell ref="XR4:XR5"/>
    <mergeCell ref="XS4:XS5"/>
    <mergeCell ref="XT4:XT5"/>
    <mergeCell ref="XU4:XU5"/>
    <mergeCell ref="XV4:XV5"/>
    <mergeCell ref="XK4:XK5"/>
    <mergeCell ref="XL4:XL5"/>
    <mergeCell ref="XM4:XM5"/>
    <mergeCell ref="XN4:XN5"/>
    <mergeCell ref="XO4:XO5"/>
    <mergeCell ref="XP4:XP5"/>
    <mergeCell ref="XE4:XE5"/>
    <mergeCell ref="XF4:XF5"/>
    <mergeCell ref="XG4:XG5"/>
    <mergeCell ref="XH4:XH5"/>
    <mergeCell ref="XI4:XI5"/>
    <mergeCell ref="XJ4:XJ5"/>
    <mergeCell ref="WY4:WY5"/>
    <mergeCell ref="WZ4:WZ5"/>
    <mergeCell ref="XA4:XA5"/>
    <mergeCell ref="XB4:XB5"/>
    <mergeCell ref="XC4:XC5"/>
    <mergeCell ref="XD4:XD5"/>
    <mergeCell ref="WS4:WS5"/>
    <mergeCell ref="WT4:WT5"/>
    <mergeCell ref="WU4:WU5"/>
    <mergeCell ref="WV4:WV5"/>
    <mergeCell ref="WW4:WW5"/>
    <mergeCell ref="WX4:WX5"/>
    <mergeCell ref="WM4:WM5"/>
    <mergeCell ref="WN4:WN5"/>
    <mergeCell ref="WO4:WO5"/>
    <mergeCell ref="WP4:WP5"/>
    <mergeCell ref="WQ4:WQ5"/>
    <mergeCell ref="WR4:WR5"/>
    <mergeCell ref="WG4:WG5"/>
    <mergeCell ref="WH4:WH5"/>
    <mergeCell ref="WI4:WI5"/>
    <mergeCell ref="WJ4:WJ5"/>
    <mergeCell ref="WK4:WK5"/>
    <mergeCell ref="WL4:WL5"/>
    <mergeCell ref="WA4:WA5"/>
    <mergeCell ref="WB4:WB5"/>
    <mergeCell ref="WC4:WC5"/>
    <mergeCell ref="WD4:WD5"/>
    <mergeCell ref="WE4:WE5"/>
    <mergeCell ref="WF4:WF5"/>
    <mergeCell ref="VU4:VU5"/>
    <mergeCell ref="VV4:VV5"/>
    <mergeCell ref="VW4:VW5"/>
    <mergeCell ref="VX4:VX5"/>
    <mergeCell ref="VY4:VY5"/>
    <mergeCell ref="VZ4:VZ5"/>
    <mergeCell ref="VO4:VO5"/>
    <mergeCell ref="VP4:VP5"/>
    <mergeCell ref="VQ4:VQ5"/>
    <mergeCell ref="VR4:VR5"/>
    <mergeCell ref="VS4:VS5"/>
    <mergeCell ref="VT4:VT5"/>
    <mergeCell ref="VI4:VI5"/>
    <mergeCell ref="VJ4:VJ5"/>
    <mergeCell ref="VK4:VK5"/>
    <mergeCell ref="VL4:VL5"/>
    <mergeCell ref="VM4:VM5"/>
    <mergeCell ref="VN4:VN5"/>
    <mergeCell ref="VC4:VC5"/>
    <mergeCell ref="VD4:VD5"/>
    <mergeCell ref="VE4:VE5"/>
    <mergeCell ref="VF4:VF5"/>
    <mergeCell ref="VG4:VG5"/>
    <mergeCell ref="VH4:VH5"/>
    <mergeCell ref="UW4:UW5"/>
    <mergeCell ref="UX4:UX5"/>
    <mergeCell ref="UY4:UY5"/>
    <mergeCell ref="UZ4:UZ5"/>
    <mergeCell ref="VA4:VA5"/>
    <mergeCell ref="VB4:VB5"/>
    <mergeCell ref="UQ4:UQ5"/>
    <mergeCell ref="UR4:UR5"/>
    <mergeCell ref="US4:US5"/>
    <mergeCell ref="UT4:UT5"/>
    <mergeCell ref="UU4:UU5"/>
    <mergeCell ref="UV4:UV5"/>
    <mergeCell ref="UK4:UK5"/>
    <mergeCell ref="UL4:UL5"/>
    <mergeCell ref="UM4:UM5"/>
    <mergeCell ref="UN4:UN5"/>
    <mergeCell ref="UO4:UO5"/>
    <mergeCell ref="UP4:UP5"/>
    <mergeCell ref="UE4:UE5"/>
    <mergeCell ref="UF4:UF5"/>
    <mergeCell ref="UG4:UG5"/>
    <mergeCell ref="UH4:UH5"/>
    <mergeCell ref="UI4:UI5"/>
    <mergeCell ref="UJ4:UJ5"/>
    <mergeCell ref="TY4:TY5"/>
    <mergeCell ref="TZ4:TZ5"/>
    <mergeCell ref="UA4:UA5"/>
    <mergeCell ref="UB4:UB5"/>
    <mergeCell ref="UC4:UC5"/>
    <mergeCell ref="UD4:UD5"/>
    <mergeCell ref="TS4:TS5"/>
    <mergeCell ref="TT4:TT5"/>
    <mergeCell ref="TU4:TU5"/>
    <mergeCell ref="TV4:TV5"/>
    <mergeCell ref="TW4:TW5"/>
    <mergeCell ref="TX4:TX5"/>
    <mergeCell ref="TM4:TM5"/>
    <mergeCell ref="TN4:TN5"/>
    <mergeCell ref="TO4:TO5"/>
    <mergeCell ref="TP4:TP5"/>
    <mergeCell ref="TQ4:TQ5"/>
    <mergeCell ref="TR4:TR5"/>
    <mergeCell ref="TG4:TG5"/>
    <mergeCell ref="TH4:TH5"/>
    <mergeCell ref="TI4:TI5"/>
    <mergeCell ref="TJ4:TJ5"/>
    <mergeCell ref="TK4:TK5"/>
    <mergeCell ref="TL4:TL5"/>
    <mergeCell ref="TA4:TA5"/>
    <mergeCell ref="TB4:TB5"/>
    <mergeCell ref="TC4:TC5"/>
    <mergeCell ref="TD4:TD5"/>
    <mergeCell ref="TE4:TE5"/>
    <mergeCell ref="TF4:TF5"/>
    <mergeCell ref="SU4:SU5"/>
    <mergeCell ref="SV4:SV5"/>
    <mergeCell ref="SW4:SW5"/>
    <mergeCell ref="SX4:SX5"/>
    <mergeCell ref="SY4:SY5"/>
    <mergeCell ref="SZ4:SZ5"/>
    <mergeCell ref="SO4:SO5"/>
    <mergeCell ref="SP4:SP5"/>
    <mergeCell ref="SQ4:SQ5"/>
    <mergeCell ref="SR4:SR5"/>
    <mergeCell ref="SS4:SS5"/>
    <mergeCell ref="ST4:ST5"/>
    <mergeCell ref="SI4:SI5"/>
    <mergeCell ref="SJ4:SJ5"/>
    <mergeCell ref="SK4:SK5"/>
    <mergeCell ref="SL4:SL5"/>
    <mergeCell ref="SM4:SM5"/>
    <mergeCell ref="SN4:SN5"/>
    <mergeCell ref="SC4:SC5"/>
    <mergeCell ref="SD4:SD5"/>
    <mergeCell ref="SE4:SE5"/>
    <mergeCell ref="SF4:SF5"/>
    <mergeCell ref="SG4:SG5"/>
    <mergeCell ref="SH4:SH5"/>
    <mergeCell ref="RW4:RW5"/>
    <mergeCell ref="RX4:RX5"/>
    <mergeCell ref="RY4:RY5"/>
    <mergeCell ref="RZ4:RZ5"/>
    <mergeCell ref="SA4:SA5"/>
    <mergeCell ref="SB4:SB5"/>
    <mergeCell ref="RQ4:RQ5"/>
    <mergeCell ref="RR4:RR5"/>
    <mergeCell ref="RS4:RS5"/>
    <mergeCell ref="RT4:RT5"/>
    <mergeCell ref="RU4:RU5"/>
    <mergeCell ref="RV4:RV5"/>
    <mergeCell ref="RK4:RK5"/>
    <mergeCell ref="RL4:RL5"/>
    <mergeCell ref="RM4:RM5"/>
    <mergeCell ref="RN4:RN5"/>
    <mergeCell ref="RO4:RO5"/>
    <mergeCell ref="RP4:RP5"/>
    <mergeCell ref="RE4:RE5"/>
    <mergeCell ref="RF4:RF5"/>
    <mergeCell ref="RG4:RG5"/>
    <mergeCell ref="RH4:RH5"/>
    <mergeCell ref="RI4:RI5"/>
    <mergeCell ref="RJ4:RJ5"/>
    <mergeCell ref="QY4:QY5"/>
    <mergeCell ref="QZ4:QZ5"/>
    <mergeCell ref="RA4:RA5"/>
    <mergeCell ref="RB4:RB5"/>
    <mergeCell ref="RC4:RC5"/>
    <mergeCell ref="RD4:RD5"/>
    <mergeCell ref="QS4:QS5"/>
    <mergeCell ref="QT4:QT5"/>
    <mergeCell ref="QU4:QU5"/>
    <mergeCell ref="QV4:QV5"/>
    <mergeCell ref="QW4:QW5"/>
    <mergeCell ref="QX4:QX5"/>
    <mergeCell ref="QM4:QM5"/>
    <mergeCell ref="QN4:QN5"/>
    <mergeCell ref="QO4:QO5"/>
    <mergeCell ref="QP4:QP5"/>
    <mergeCell ref="QQ4:QQ5"/>
    <mergeCell ref="QR4:QR5"/>
    <mergeCell ref="QG4:QG5"/>
    <mergeCell ref="QH4:QH5"/>
    <mergeCell ref="QI4:QI5"/>
    <mergeCell ref="QJ4:QJ5"/>
    <mergeCell ref="QK4:QK5"/>
    <mergeCell ref="QL4:QL5"/>
    <mergeCell ref="QA4:QA5"/>
    <mergeCell ref="QB4:QB5"/>
    <mergeCell ref="QC4:QC5"/>
    <mergeCell ref="QD4:QD5"/>
    <mergeCell ref="QE4:QE5"/>
    <mergeCell ref="QF4:QF5"/>
    <mergeCell ref="PU4:PU5"/>
    <mergeCell ref="PV4:PV5"/>
    <mergeCell ref="PW4:PW5"/>
    <mergeCell ref="PX4:PX5"/>
    <mergeCell ref="PY4:PY5"/>
    <mergeCell ref="PZ4:PZ5"/>
    <mergeCell ref="PO4:PO5"/>
    <mergeCell ref="PP4:PP5"/>
    <mergeCell ref="PQ4:PQ5"/>
    <mergeCell ref="PR4:PR5"/>
    <mergeCell ref="PS4:PS5"/>
    <mergeCell ref="PT4:PT5"/>
    <mergeCell ref="PI4:PI5"/>
    <mergeCell ref="PJ4:PJ5"/>
    <mergeCell ref="PK4:PK5"/>
    <mergeCell ref="PL4:PL5"/>
    <mergeCell ref="PM4:PM5"/>
    <mergeCell ref="PN4:PN5"/>
    <mergeCell ref="PC4:PC5"/>
    <mergeCell ref="PD4:PD5"/>
    <mergeCell ref="PE4:PE5"/>
    <mergeCell ref="PF4:PF5"/>
    <mergeCell ref="PG4:PG5"/>
    <mergeCell ref="PH4:PH5"/>
    <mergeCell ref="OW4:OW5"/>
    <mergeCell ref="OX4:OX5"/>
    <mergeCell ref="OY4:OY5"/>
    <mergeCell ref="OZ4:OZ5"/>
    <mergeCell ref="PA4:PA5"/>
    <mergeCell ref="PB4:PB5"/>
    <mergeCell ref="OQ4:OQ5"/>
    <mergeCell ref="OR4:OR5"/>
    <mergeCell ref="OS4:OS5"/>
    <mergeCell ref="OT4:OT5"/>
    <mergeCell ref="OU4:OU5"/>
    <mergeCell ref="OV4:OV5"/>
    <mergeCell ref="OK4:OK5"/>
    <mergeCell ref="OL4:OL5"/>
    <mergeCell ref="OM4:OM5"/>
    <mergeCell ref="ON4:ON5"/>
    <mergeCell ref="OO4:OO5"/>
    <mergeCell ref="OP4:OP5"/>
    <mergeCell ref="OE4:OE5"/>
    <mergeCell ref="OF4:OF5"/>
    <mergeCell ref="OG4:OG5"/>
    <mergeCell ref="OH4:OH5"/>
    <mergeCell ref="OI4:OI5"/>
    <mergeCell ref="OJ4:OJ5"/>
    <mergeCell ref="NY4:NY5"/>
    <mergeCell ref="NZ4:NZ5"/>
    <mergeCell ref="OA4:OA5"/>
    <mergeCell ref="OB4:OB5"/>
    <mergeCell ref="OC4:OC5"/>
    <mergeCell ref="OD4:OD5"/>
    <mergeCell ref="NS4:NS5"/>
    <mergeCell ref="NT4:NT5"/>
    <mergeCell ref="NU4:NU5"/>
    <mergeCell ref="NV4:NV5"/>
    <mergeCell ref="NW4:NW5"/>
    <mergeCell ref="NX4:NX5"/>
    <mergeCell ref="NM4:NM5"/>
    <mergeCell ref="NN4:NN5"/>
    <mergeCell ref="NO4:NO5"/>
    <mergeCell ref="NP4:NP5"/>
    <mergeCell ref="NQ4:NQ5"/>
    <mergeCell ref="NR4:NR5"/>
    <mergeCell ref="NG4:NG5"/>
    <mergeCell ref="NH4:NH5"/>
    <mergeCell ref="NI4:NI5"/>
    <mergeCell ref="NJ4:NJ5"/>
    <mergeCell ref="NK4:NK5"/>
    <mergeCell ref="NL4:NL5"/>
    <mergeCell ref="NA4:NA5"/>
    <mergeCell ref="NB4:NB5"/>
    <mergeCell ref="NC4:NC5"/>
    <mergeCell ref="ND4:ND5"/>
    <mergeCell ref="NE4:NE5"/>
    <mergeCell ref="NF4:NF5"/>
    <mergeCell ref="MU4:MU5"/>
    <mergeCell ref="MV4:MV5"/>
    <mergeCell ref="MW4:MW5"/>
    <mergeCell ref="MX4:MX5"/>
    <mergeCell ref="MY4:MY5"/>
    <mergeCell ref="MZ4:MZ5"/>
    <mergeCell ref="MO4:MO5"/>
    <mergeCell ref="MP4:MP5"/>
    <mergeCell ref="MQ4:MQ5"/>
    <mergeCell ref="MR4:MR5"/>
    <mergeCell ref="MS4:MS5"/>
    <mergeCell ref="MT4:MT5"/>
    <mergeCell ref="MI4:MI5"/>
    <mergeCell ref="MJ4:MJ5"/>
    <mergeCell ref="MK4:MK5"/>
    <mergeCell ref="ML4:ML5"/>
    <mergeCell ref="MM4:MM5"/>
    <mergeCell ref="MN4:MN5"/>
    <mergeCell ref="MC4:MC5"/>
    <mergeCell ref="MD4:MD5"/>
    <mergeCell ref="ME4:ME5"/>
    <mergeCell ref="MF4:MF5"/>
    <mergeCell ref="MG4:MG5"/>
    <mergeCell ref="MH4:MH5"/>
    <mergeCell ref="LW4:LW5"/>
    <mergeCell ref="LX4:LX5"/>
    <mergeCell ref="LY4:LY5"/>
    <mergeCell ref="LZ4:LZ5"/>
    <mergeCell ref="MA4:MA5"/>
    <mergeCell ref="MB4:MB5"/>
    <mergeCell ref="LQ4:LQ5"/>
    <mergeCell ref="LR4:LR5"/>
    <mergeCell ref="LS4:LS5"/>
    <mergeCell ref="LT4:LT5"/>
    <mergeCell ref="LU4:LU5"/>
    <mergeCell ref="LV4:LV5"/>
    <mergeCell ref="LK4:LK5"/>
    <mergeCell ref="LL4:LL5"/>
    <mergeCell ref="LM4:LM5"/>
    <mergeCell ref="LN4:LN5"/>
    <mergeCell ref="LO4:LO5"/>
    <mergeCell ref="LP4:LP5"/>
    <mergeCell ref="LE4:LE5"/>
    <mergeCell ref="LF4:LF5"/>
    <mergeCell ref="LG4:LG5"/>
    <mergeCell ref="LH4:LH5"/>
    <mergeCell ref="LI4:LI5"/>
    <mergeCell ref="LJ4:LJ5"/>
    <mergeCell ref="KY4:KY5"/>
    <mergeCell ref="KZ4:KZ5"/>
    <mergeCell ref="LA4:LA5"/>
    <mergeCell ref="LB4:LB5"/>
    <mergeCell ref="LC4:LC5"/>
    <mergeCell ref="LD4:LD5"/>
    <mergeCell ref="KS4:KS5"/>
    <mergeCell ref="KT4:KT5"/>
    <mergeCell ref="KU4:KU5"/>
    <mergeCell ref="KV4:KV5"/>
    <mergeCell ref="KW4:KW5"/>
    <mergeCell ref="KX4:KX5"/>
    <mergeCell ref="KM4:KM5"/>
    <mergeCell ref="KN4:KN5"/>
    <mergeCell ref="KO4:KO5"/>
    <mergeCell ref="KP4:KP5"/>
    <mergeCell ref="KQ4:KQ5"/>
    <mergeCell ref="KR4:KR5"/>
    <mergeCell ref="KG4:KG5"/>
    <mergeCell ref="KH4:KH5"/>
    <mergeCell ref="KI4:KI5"/>
    <mergeCell ref="KJ4:KJ5"/>
    <mergeCell ref="KK4:KK5"/>
    <mergeCell ref="KL4:KL5"/>
    <mergeCell ref="KA4:KA5"/>
    <mergeCell ref="KB4:KB5"/>
    <mergeCell ref="KC4:KC5"/>
    <mergeCell ref="KD4:KD5"/>
    <mergeCell ref="KE4:KE5"/>
    <mergeCell ref="KF4:KF5"/>
    <mergeCell ref="JU4:JU5"/>
    <mergeCell ref="JV4:JV5"/>
    <mergeCell ref="JW4:JW5"/>
    <mergeCell ref="JX4:JX5"/>
    <mergeCell ref="JY4:JY5"/>
    <mergeCell ref="JZ4:JZ5"/>
    <mergeCell ref="JO4:JO5"/>
    <mergeCell ref="JP4:JP5"/>
    <mergeCell ref="JQ4:JQ5"/>
    <mergeCell ref="JR4:JR5"/>
    <mergeCell ref="JS4:JS5"/>
    <mergeCell ref="JT4:JT5"/>
    <mergeCell ref="JI4:JI5"/>
    <mergeCell ref="JJ4:JJ5"/>
    <mergeCell ref="JK4:JK5"/>
    <mergeCell ref="JL4:JL5"/>
    <mergeCell ref="JM4:JM5"/>
    <mergeCell ref="JN4:JN5"/>
    <mergeCell ref="JC4:JC5"/>
    <mergeCell ref="JD4:JD5"/>
    <mergeCell ref="JE4:JE5"/>
    <mergeCell ref="JF4:JF5"/>
    <mergeCell ref="JG4:JG5"/>
    <mergeCell ref="JH4:JH5"/>
    <mergeCell ref="IW4:IW5"/>
    <mergeCell ref="IX4:IX5"/>
    <mergeCell ref="IY4:IY5"/>
    <mergeCell ref="IZ4:IZ5"/>
    <mergeCell ref="JA4:JA5"/>
    <mergeCell ref="JB4:JB5"/>
    <mergeCell ref="IQ4:IQ5"/>
    <mergeCell ref="IR4:IR5"/>
    <mergeCell ref="IS4:IS5"/>
    <mergeCell ref="IT4:IT5"/>
    <mergeCell ref="IU4:IU5"/>
    <mergeCell ref="IV4:IV5"/>
    <mergeCell ref="IK4:IK5"/>
    <mergeCell ref="IL4:IL5"/>
    <mergeCell ref="IM4:IM5"/>
    <mergeCell ref="IN4:IN5"/>
    <mergeCell ref="IO4:IO5"/>
    <mergeCell ref="IP4:IP5"/>
    <mergeCell ref="IE4:IE5"/>
    <mergeCell ref="IF4:IF5"/>
    <mergeCell ref="IG4:IG5"/>
    <mergeCell ref="IH4:IH5"/>
    <mergeCell ref="II4:II5"/>
    <mergeCell ref="IJ4:IJ5"/>
    <mergeCell ref="HY4:HY5"/>
    <mergeCell ref="HZ4:HZ5"/>
    <mergeCell ref="IA4:IA5"/>
    <mergeCell ref="IB4:IB5"/>
    <mergeCell ref="IC4:IC5"/>
    <mergeCell ref="ID4:ID5"/>
    <mergeCell ref="HS4:HS5"/>
    <mergeCell ref="HT4:HT5"/>
    <mergeCell ref="HU4:HU5"/>
    <mergeCell ref="HV4:HV5"/>
    <mergeCell ref="HW4:HW5"/>
    <mergeCell ref="HX4:HX5"/>
    <mergeCell ref="HM4:HM5"/>
    <mergeCell ref="HN4:HN5"/>
    <mergeCell ref="HO4:HO5"/>
    <mergeCell ref="HP4:HP5"/>
    <mergeCell ref="HQ4:HQ5"/>
    <mergeCell ref="HR4:HR5"/>
    <mergeCell ref="HG4:HG5"/>
    <mergeCell ref="HH4:HH5"/>
    <mergeCell ref="HI4:HI5"/>
    <mergeCell ref="HJ4:HJ5"/>
    <mergeCell ref="HK4:HK5"/>
    <mergeCell ref="HL4:HL5"/>
    <mergeCell ref="HA4:HA5"/>
    <mergeCell ref="HB4:HB5"/>
    <mergeCell ref="HC4:HC5"/>
    <mergeCell ref="HD4:HD5"/>
    <mergeCell ref="HE4:HE5"/>
    <mergeCell ref="HF4:HF5"/>
    <mergeCell ref="GU4:GU5"/>
    <mergeCell ref="GV4:GV5"/>
    <mergeCell ref="GW4:GW5"/>
    <mergeCell ref="GX4:GX5"/>
    <mergeCell ref="GY4:GY5"/>
    <mergeCell ref="GZ4:GZ5"/>
    <mergeCell ref="GO4:GO5"/>
    <mergeCell ref="GP4:GP5"/>
    <mergeCell ref="GQ4:GQ5"/>
    <mergeCell ref="GR4:GR5"/>
    <mergeCell ref="GS4:GS5"/>
    <mergeCell ref="GT4:GT5"/>
    <mergeCell ref="GI4:GI5"/>
    <mergeCell ref="GJ4:GJ5"/>
    <mergeCell ref="GK4:GK5"/>
    <mergeCell ref="GL4:GL5"/>
    <mergeCell ref="GM4:GM5"/>
    <mergeCell ref="GN4:GN5"/>
    <mergeCell ref="GC4:GC5"/>
    <mergeCell ref="GD4:GD5"/>
    <mergeCell ref="GE4:GE5"/>
    <mergeCell ref="GF4:GF5"/>
    <mergeCell ref="GG4:GG5"/>
    <mergeCell ref="GH4:GH5"/>
    <mergeCell ref="FW4:FW5"/>
    <mergeCell ref="FX4:FX5"/>
    <mergeCell ref="FY4:FY5"/>
    <mergeCell ref="FZ4:FZ5"/>
    <mergeCell ref="GA4:GA5"/>
    <mergeCell ref="GB4:GB5"/>
    <mergeCell ref="FQ4:FQ5"/>
    <mergeCell ref="FR4:FR5"/>
    <mergeCell ref="FS4:FS5"/>
    <mergeCell ref="FT4:FT5"/>
    <mergeCell ref="FU4:FU5"/>
    <mergeCell ref="FV4:FV5"/>
    <mergeCell ref="FK4:FK5"/>
    <mergeCell ref="FL4:FL5"/>
    <mergeCell ref="FM4:FM5"/>
    <mergeCell ref="FN4:FN5"/>
    <mergeCell ref="FO4:FO5"/>
    <mergeCell ref="FP4:FP5"/>
    <mergeCell ref="FE4:FE5"/>
    <mergeCell ref="FF4:FF5"/>
    <mergeCell ref="FG4:FG5"/>
    <mergeCell ref="FH4:FH5"/>
    <mergeCell ref="FI4:FI5"/>
    <mergeCell ref="FJ4:FJ5"/>
    <mergeCell ref="EY4:EY5"/>
    <mergeCell ref="EZ4:EZ5"/>
    <mergeCell ref="FA4:FA5"/>
    <mergeCell ref="FB4:FB5"/>
    <mergeCell ref="FC4:FC5"/>
    <mergeCell ref="FD4:FD5"/>
    <mergeCell ref="ES4:ES5"/>
    <mergeCell ref="ET4:ET5"/>
    <mergeCell ref="EU4:EU5"/>
    <mergeCell ref="EV4:EV5"/>
    <mergeCell ref="EW4:EW5"/>
    <mergeCell ref="EX4:EX5"/>
    <mergeCell ref="EM4:EM5"/>
    <mergeCell ref="EN4:EN5"/>
    <mergeCell ref="EO4:EO5"/>
    <mergeCell ref="EP4:EP5"/>
    <mergeCell ref="EQ4:EQ5"/>
    <mergeCell ref="ER4:ER5"/>
    <mergeCell ref="EG4:EG5"/>
    <mergeCell ref="EH4:EH5"/>
    <mergeCell ref="EI4:EI5"/>
    <mergeCell ref="EJ4:EJ5"/>
    <mergeCell ref="EK4:EK5"/>
    <mergeCell ref="EL4:EL5"/>
    <mergeCell ref="EA4:EA5"/>
    <mergeCell ref="EB4:EB5"/>
    <mergeCell ref="EC4:EC5"/>
    <mergeCell ref="ED4:ED5"/>
    <mergeCell ref="EE4:EE5"/>
    <mergeCell ref="EF4:EF5"/>
    <mergeCell ref="DU4:DU5"/>
    <mergeCell ref="DV4:DV5"/>
    <mergeCell ref="DW4:DW5"/>
    <mergeCell ref="DX4:DX5"/>
    <mergeCell ref="DY4:DY5"/>
    <mergeCell ref="DZ4:DZ5"/>
    <mergeCell ref="DO4:DO5"/>
    <mergeCell ref="DP4:DP5"/>
    <mergeCell ref="DQ4:DQ5"/>
    <mergeCell ref="DR4:DR5"/>
    <mergeCell ref="DS4:DS5"/>
    <mergeCell ref="DT4:DT5"/>
    <mergeCell ref="DI4:DI5"/>
    <mergeCell ref="DJ4:DJ5"/>
    <mergeCell ref="DK4:DK5"/>
    <mergeCell ref="DL4:DL5"/>
    <mergeCell ref="DM4:DM5"/>
    <mergeCell ref="DN4:DN5"/>
    <mergeCell ref="DC4:DC5"/>
    <mergeCell ref="DD4:DD5"/>
    <mergeCell ref="DE4:DE5"/>
    <mergeCell ref="DF4:DF5"/>
    <mergeCell ref="DG4:DG5"/>
    <mergeCell ref="DH4:DH5"/>
    <mergeCell ref="CW4:CW5"/>
    <mergeCell ref="CX4:CX5"/>
    <mergeCell ref="CY4:CY5"/>
    <mergeCell ref="CZ4:CZ5"/>
    <mergeCell ref="DA4:DA5"/>
    <mergeCell ref="DB4:DB5"/>
    <mergeCell ref="CQ4:CQ5"/>
    <mergeCell ref="CR4:CR5"/>
    <mergeCell ref="CS4:CS5"/>
    <mergeCell ref="CT4:CT5"/>
    <mergeCell ref="CU4:CU5"/>
    <mergeCell ref="CV4:CV5"/>
    <mergeCell ref="CK4:CK5"/>
    <mergeCell ref="CL4:CL5"/>
    <mergeCell ref="CM4:CM5"/>
    <mergeCell ref="CN4:CN5"/>
    <mergeCell ref="CO4:CO5"/>
    <mergeCell ref="CP4:CP5"/>
    <mergeCell ref="CE4:CE5"/>
    <mergeCell ref="CF4:CF5"/>
    <mergeCell ref="CG4:CG5"/>
    <mergeCell ref="CH4:CH5"/>
    <mergeCell ref="CI4:CI5"/>
    <mergeCell ref="CJ4:CJ5"/>
    <mergeCell ref="BY4:BY5"/>
    <mergeCell ref="BZ4:BZ5"/>
    <mergeCell ref="CA4:CA5"/>
    <mergeCell ref="CB4:CB5"/>
    <mergeCell ref="CC4:CC5"/>
    <mergeCell ref="CD4:CD5"/>
    <mergeCell ref="BS4:BS5"/>
    <mergeCell ref="BT4:BT5"/>
    <mergeCell ref="BU4:BU5"/>
    <mergeCell ref="BV4:BV5"/>
    <mergeCell ref="BW4:BW5"/>
    <mergeCell ref="BX4:BX5"/>
    <mergeCell ref="BM4:BM5"/>
    <mergeCell ref="BN4:BN5"/>
    <mergeCell ref="BO4:BO5"/>
    <mergeCell ref="BP4:BP5"/>
    <mergeCell ref="BQ4:BQ5"/>
    <mergeCell ref="BR4:BR5"/>
    <mergeCell ref="BG4:BG5"/>
    <mergeCell ref="BH4:BH5"/>
    <mergeCell ref="BI4:BI5"/>
    <mergeCell ref="BJ4:BJ5"/>
    <mergeCell ref="BK4:BK5"/>
    <mergeCell ref="BL4:BL5"/>
    <mergeCell ref="BA4:BA5"/>
    <mergeCell ref="BB4:BB5"/>
    <mergeCell ref="BC4:BC5"/>
    <mergeCell ref="BD4:BD5"/>
    <mergeCell ref="BE4:BE5"/>
    <mergeCell ref="BF4:BF5"/>
    <mergeCell ref="AU4:AU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T4:AT5"/>
    <mergeCell ref="AI4:AI5"/>
    <mergeCell ref="AJ4:AJ5"/>
    <mergeCell ref="AK4:AK5"/>
    <mergeCell ref="AL4:AL5"/>
    <mergeCell ref="AM4:AM5"/>
    <mergeCell ref="AN4:AN5"/>
    <mergeCell ref="Z4:Z5"/>
    <mergeCell ref="AA4:AA5"/>
    <mergeCell ref="AB4:AB5"/>
    <mergeCell ref="AC4:AC5"/>
    <mergeCell ref="AD4:AD5"/>
    <mergeCell ref="AE4:AE5"/>
    <mergeCell ref="AF4:AF5"/>
    <mergeCell ref="AG4:AG5"/>
    <mergeCell ref="AH4:AH5"/>
    <mergeCell ref="T4:T5"/>
    <mergeCell ref="U4:U5"/>
    <mergeCell ref="V4:V5"/>
    <mergeCell ref="W4:W5"/>
    <mergeCell ref="X4:X5"/>
    <mergeCell ref="Y4:Y5"/>
    <mergeCell ref="N4:N5"/>
    <mergeCell ref="O4:O5"/>
    <mergeCell ref="P4:P5"/>
    <mergeCell ref="Q4:Q5"/>
    <mergeCell ref="R4:R5"/>
    <mergeCell ref="S4:S5"/>
    <mergeCell ref="H4:H5"/>
    <mergeCell ref="I4:I5"/>
    <mergeCell ref="J4:J5"/>
    <mergeCell ref="K4:K5"/>
    <mergeCell ref="L4:L5"/>
    <mergeCell ref="M4:M5"/>
    <mergeCell ref="B4:B5"/>
    <mergeCell ref="C4:C5"/>
    <mergeCell ref="D4:D5"/>
    <mergeCell ref="E4:E5"/>
    <mergeCell ref="F4:F5"/>
    <mergeCell ref="G4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alculate">
                <anchor moveWithCells="1" sizeWithCells="1">
                  <from>
                    <xdr:col>8</xdr:col>
                    <xdr:colOff>254000</xdr:colOff>
                    <xdr:row>5</xdr:row>
                    <xdr:rowOff>38100</xdr:rowOff>
                  </from>
                  <to>
                    <xdr:col>11</xdr:col>
                    <xdr:colOff>323850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543F-CD38-4C28-BE82-00DEBD5825FB}">
  <sheetPr codeName="Sheet3"/>
  <dimension ref="A2:WMP7"/>
  <sheetViews>
    <sheetView showGridLines="0" tabSelected="1" zoomScaleNormal="100" workbookViewId="0"/>
  </sheetViews>
  <sheetFormatPr defaultRowHeight="14.5" x14ac:dyDescent="0.35"/>
  <cols>
    <col min="1" max="1" width="16.1796875" bestFit="1" customWidth="1"/>
    <col min="2" max="2" width="11.36328125" bestFit="1" customWidth="1"/>
  </cols>
  <sheetData>
    <row r="2" spans="1:1502 15902:15902" x14ac:dyDescent="0.35">
      <c r="A2" s="17" t="s">
        <v>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</row>
    <row r="3" spans="1:1502 15902:15902" x14ac:dyDescent="0.35">
      <c r="A3" s="17"/>
      <c r="B3" t="str" cm="1">
        <f t="array" aca="1" ref="B3:C3" ca="1">('Stock Infos'!B4):OFFSET(('Stock Infos'!B4),0,'Stock Infos'!B1-1)</f>
        <v>Stock Names</v>
      </c>
      <c r="C3">
        <f ca="1"/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WMP3" t="s">
        <v>5</v>
      </c>
    </row>
    <row r="4" spans="1:1502 15902:15902" x14ac:dyDescent="0.35">
      <c r="A4" t="str" cm="1">
        <f t="array" aca="1" ref="A4:A5" ca="1">TRANSPOSE(('Stock Infos'!B4):OFFSET(('Stock Infos'!B4),0,'Stock Infos'!B1-1))</f>
        <v>Stock Names</v>
      </c>
      <c r="B4" s="3" t="e">
        <f>CORREL(_xlfn.ANCHORARRAY(WMP4),_xlfn.ANCHORARRAY(B2000))</f>
        <v>#REF!</v>
      </c>
      <c r="C4" s="3"/>
      <c r="D4" s="3"/>
      <c r="E4" s="3"/>
      <c r="F4" s="3"/>
      <c r="G4" s="3"/>
    </row>
    <row r="5" spans="1:1502 15902:15902" x14ac:dyDescent="0.35">
      <c r="A5">
        <f ca="1"/>
        <v>0</v>
      </c>
      <c r="B5" s="3"/>
      <c r="C5" s="3"/>
      <c r="D5" s="3"/>
      <c r="E5" s="3"/>
      <c r="F5" s="3"/>
      <c r="G5" s="3"/>
    </row>
    <row r="6" spans="1:1502 15902:15902" x14ac:dyDescent="0.35">
      <c r="B6" s="3"/>
      <c r="C6" s="3"/>
      <c r="D6" s="3"/>
      <c r="E6" s="3"/>
      <c r="F6" s="3"/>
      <c r="G6" s="3"/>
    </row>
    <row r="7" spans="1:1502 15902:15902" x14ac:dyDescent="0.35">
      <c r="B7" s="3"/>
      <c r="C7" s="3"/>
      <c r="D7" s="3"/>
      <c r="E7" s="3"/>
    </row>
  </sheetData>
  <mergeCells count="1">
    <mergeCell ref="A2:A3"/>
  </mergeCells>
  <conditionalFormatting sqref="F9:WMO11 B2002:XFD2003 B2005:XFD1048576 C2004:XFD2004 B1997:E1997 J1997:XFD1997 B14:XFD1996 B1998:XFD1999 C2001:XFD2001 BET2000:XFD2000 B12:WMO13 WMP4:XFD13 B4:WMO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{FB2ADCB4-A080-4550-9C2D-DAE10EDF6C5B}</x14:id>
        </ext>
      </extLst>
    </cfRule>
  </conditionalFormatting>
  <conditionalFormatting sqref="B9:E1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{017F83D4-02EE-4CC1-9EEE-B8341147839C}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2ADCB4-A080-4550-9C2D-DAE10EDF6C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F9:WMO11 B2002:XFD2003 B2005:XFD1048576 C2004:XFD2004 B1997:E1997 J1997:XFD1997 B14:XFD1996 B1998:XFD1999 C2001:XFD2001 BET2000:XFD2000 B12:WMO13 WMP4:XFD13 B4:WMO8</xm:sqref>
        </x14:conditionalFormatting>
        <x14:conditionalFormatting xmlns:xm="http://schemas.microsoft.com/office/excel/2006/main">
          <x14:cfRule type="dataBar" id="{017F83D4-02EE-4CC1-9EEE-B83411478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8DDD1-94F1-462C-8A46-A677DE11EB7F}">
  <sheetPr codeName="Sheet4"/>
  <dimension ref="A2:WMP5"/>
  <sheetViews>
    <sheetView showGridLines="0" zoomScaleNormal="100" workbookViewId="0"/>
  </sheetViews>
  <sheetFormatPr defaultRowHeight="14.5" x14ac:dyDescent="0.35"/>
  <cols>
    <col min="1" max="1" width="16.1796875" bestFit="1" customWidth="1"/>
    <col min="2" max="2" width="11.36328125" bestFit="1" customWidth="1"/>
  </cols>
  <sheetData>
    <row r="2" spans="1:1502 15902:15902" x14ac:dyDescent="0.35">
      <c r="A2" s="17" t="s">
        <v>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</row>
    <row r="3" spans="1:1502 15902:15902" x14ac:dyDescent="0.35">
      <c r="A3" s="17"/>
      <c r="B3" t="str" cm="1">
        <f t="array" aca="1" ref="B3:C3" ca="1">('Stock Infos'!B4):OFFSET(('Stock Infos'!B4),0,'Stock Infos'!B1-1)</f>
        <v>Stock Names</v>
      </c>
      <c r="C3">
        <f ca="1"/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WMP3" t="s">
        <v>5</v>
      </c>
    </row>
    <row r="4" spans="1:1502 15902:15902" x14ac:dyDescent="0.35">
      <c r="A4" t="str" cm="1">
        <f t="array" aca="1" ref="A4:A5" ca="1">TRANSPOSE(('Stock Infos'!B4):OFFSET(('Stock Infos'!B4),0,'Stock Infos'!B1-1))</f>
        <v>Stock Names</v>
      </c>
      <c r="B4" t="e">
        <f>_xlfn.COVARIANCE.P(_xlfn.ANCHORARRAY(WMP4),_xlfn.ANCHORARRAY(B2000))</f>
        <v>#REF!</v>
      </c>
    </row>
    <row r="5" spans="1:1502 15902:15902" x14ac:dyDescent="0.35">
      <c r="A5">
        <f ca="1"/>
        <v>0</v>
      </c>
    </row>
  </sheetData>
  <mergeCells count="1">
    <mergeCell ref="A2:A3"/>
  </mergeCells>
  <conditionalFormatting sqref="B2002:XFD2003 B2005:XFD1048576 C2004:XFD2004 C2001:XFD2001 L2000:XFD2000 WMP4:XFD199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{E883075D-1DA1-46A7-89BA-FEC89306255B}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83075D-1DA1-46A7-89BA-FEC8930625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B2002:XFD2003 B2005:XFD1048576 C2004:XFD2004 C2001:XFD2001 L2000:XFD2000 WMP4:XFD1999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8A2C0-ACED-497C-B336-7959B1729D60}">
  <sheetPr codeName="Sheet2"/>
  <dimension ref="B1:XFD26"/>
  <sheetViews>
    <sheetView showGridLines="0" zoomScale="70" zoomScaleNormal="70" workbookViewId="0">
      <selection activeCell="L11" sqref="L11"/>
    </sheetView>
  </sheetViews>
  <sheetFormatPr defaultRowHeight="14.5" x14ac:dyDescent="0.35"/>
  <cols>
    <col min="2" max="2" width="22.36328125" bestFit="1" customWidth="1"/>
    <col min="3" max="3" width="11.81640625" customWidth="1"/>
  </cols>
  <sheetData>
    <row r="1" spans="2:11 16384:16384" x14ac:dyDescent="0.35">
      <c r="B1">
        <v>0.50000049999999996</v>
      </c>
      <c r="C1" s="10">
        <v>0.50000049999999996</v>
      </c>
      <c r="D1" s="10"/>
      <c r="E1" s="10"/>
      <c r="F1" s="10"/>
      <c r="G1" s="10"/>
      <c r="H1" s="10"/>
      <c r="I1" s="10"/>
      <c r="J1" s="10"/>
      <c r="K1" s="10"/>
      <c r="XFD1">
        <f ca="1">SUM(C1:OFFSET(C1,0,No_Stock-1))</f>
        <v>1.0000009999999999</v>
      </c>
    </row>
    <row r="2" spans="2:11 16384:16384" x14ac:dyDescent="0.35">
      <c r="C2" t="str" cm="1">
        <f t="array" aca="1" ref="C2:D2" ca="1">('Stock Infos'!B4):OFFSET(('Stock Infos'!B4),0,'Stock Infos'!B1-1)</f>
        <v>Stock Names</v>
      </c>
      <c r="D2">
        <f ca="1"/>
        <v>0</v>
      </c>
      <c r="XFD2" t="b">
        <v>0</v>
      </c>
    </row>
    <row r="3" spans="2:11 16384:16384" x14ac:dyDescent="0.35">
      <c r="B3" s="1" t="s">
        <v>6</v>
      </c>
      <c r="C3" s="1" t="s">
        <v>6</v>
      </c>
      <c r="D3" s="1"/>
      <c r="E3" s="1"/>
      <c r="F3" s="1"/>
      <c r="G3" s="1"/>
      <c r="H3" s="1"/>
      <c r="I3" s="4"/>
      <c r="J3" s="4"/>
      <c r="K3" s="4"/>
      <c r="XFD3">
        <v>1</v>
      </c>
    </row>
    <row r="4" spans="2:11 16384:16384" x14ac:dyDescent="0.35">
      <c r="B4" s="1" t="s">
        <v>7</v>
      </c>
      <c r="C4" s="1" t="s">
        <v>7</v>
      </c>
      <c r="D4" s="1"/>
      <c r="E4" s="1"/>
      <c r="F4" s="1"/>
      <c r="G4" s="1"/>
      <c r="H4" s="1"/>
    </row>
    <row r="5" spans="2:11 16384:16384" x14ac:dyDescent="0.35">
      <c r="B5" s="1" t="s">
        <v>8</v>
      </c>
      <c r="C5" s="1" t="s">
        <v>8</v>
      </c>
      <c r="D5" s="1"/>
      <c r="E5" s="1"/>
      <c r="F5" s="1"/>
      <c r="G5" s="1"/>
      <c r="H5" s="1"/>
      <c r="I5" s="4"/>
      <c r="J5" s="4"/>
      <c r="K5" s="4"/>
    </row>
    <row r="7" spans="2:11 16384:16384" x14ac:dyDescent="0.35">
      <c r="B7" s="1" t="s">
        <v>18</v>
      </c>
    </row>
    <row r="9" spans="2:11 16384:16384" x14ac:dyDescent="0.35">
      <c r="B9" s="5" t="s">
        <v>9</v>
      </c>
      <c r="C9" s="6">
        <f ca="1">SUMPRODUCT(C3:OFFSET(C3,0,No_Stock),('Portfolio Info'!C1:OFFSET('Portfolio Info'!C1,0,No_Stock)))</f>
        <v>0</v>
      </c>
    </row>
    <row r="10" spans="2:11 16384:16384" x14ac:dyDescent="0.35">
      <c r="B10" s="5" t="s">
        <v>14</v>
      </c>
      <c r="C10" s="7" t="e">
        <f t="array" aca="1" ref="C10" ca="1">MMULT('Portfolio Info'!C1:OFFSET('Portfolio Info'!C1,0,No_Stock-1),MMULT(COv!B4:OFFSET(COv!B4,No_Stock-1,No_Stock-1),TRANSPOSE('Portfolio Info'!C1:OFFSET('Portfolio Info'!C1,0,No_Stock-1))))</f>
        <v>#VALUE!</v>
      </c>
    </row>
    <row r="11" spans="2:11 16384:16384" x14ac:dyDescent="0.35">
      <c r="B11" s="5" t="s">
        <v>10</v>
      </c>
      <c r="C11" s="6" t="e">
        <f ca="1">C10^(1/2)</f>
        <v>#VALUE!</v>
      </c>
    </row>
    <row r="12" spans="2:11 16384:16384" x14ac:dyDescent="0.35">
      <c r="B12" s="5" t="s">
        <v>11</v>
      </c>
      <c r="C12" s="5">
        <v>0.02</v>
      </c>
    </row>
    <row r="13" spans="2:11 16384:16384" x14ac:dyDescent="0.35">
      <c r="B13" s="5" t="s">
        <v>12</v>
      </c>
      <c r="C13" s="8" t="e">
        <f ca="1">(C9-C12)/C11</f>
        <v>#VALUE!</v>
      </c>
    </row>
    <row r="18" spans="3:9" x14ac:dyDescent="0.35">
      <c r="C18" s="14"/>
      <c r="D18" s="14"/>
      <c r="E18" s="14"/>
      <c r="F18" s="14"/>
      <c r="G18" s="14"/>
      <c r="H18" s="14"/>
      <c r="I18" s="14"/>
    </row>
    <row r="19" spans="3:9" x14ac:dyDescent="0.35"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4"/>
    </row>
    <row r="20" spans="3:9" x14ac:dyDescent="0.35">
      <c r="C20" s="15" t="e">
        <v>#VALUE!</v>
      </c>
      <c r="D20" s="15" t="e">
        <v>#VALUE!</v>
      </c>
      <c r="E20" s="15" t="e">
        <v>#VALUE!</v>
      </c>
      <c r="F20" s="15" t="e">
        <v>#VALUE!</v>
      </c>
      <c r="G20" s="15" t="e">
        <v>#VALUE!</v>
      </c>
      <c r="H20" s="15" t="e">
        <v>#VALUE!</v>
      </c>
      <c r="I20" s="14"/>
    </row>
    <row r="24" spans="3:9" x14ac:dyDescent="0.35">
      <c r="D24" t="s">
        <v>15</v>
      </c>
    </row>
    <row r="25" spans="3:9" x14ac:dyDescent="0.35">
      <c r="D25" t="s">
        <v>16</v>
      </c>
      <c r="E25" s="4">
        <v>0.03</v>
      </c>
    </row>
    <row r="26" spans="3:9" x14ac:dyDescent="0.35">
      <c r="D26" t="s">
        <v>17</v>
      </c>
      <c r="E26" s="10">
        <v>4.8953630692462793E-2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x_Sharpe">
                <anchor moveWithCells="1" sizeWithCells="1">
                  <from>
                    <xdr:col>6</xdr:col>
                    <xdr:colOff>584200</xdr:colOff>
                    <xdr:row>9</xdr:row>
                    <xdr:rowOff>146050</xdr:rowOff>
                  </from>
                  <to>
                    <xdr:col>8</xdr:col>
                    <xdr:colOff>215900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6</xdr:col>
                    <xdr:colOff>254000</xdr:colOff>
                    <xdr:row>7</xdr:row>
                    <xdr:rowOff>171450</xdr:rowOff>
                  </from>
                  <to>
                    <xdr:col>8</xdr:col>
                    <xdr:colOff>254000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Min_Risk">
                <anchor moveWithCells="1" sizeWithCells="1">
                  <from>
                    <xdr:col>8</xdr:col>
                    <xdr:colOff>412750</xdr:colOff>
                    <xdr:row>9</xdr:row>
                    <xdr:rowOff>177800</xdr:rowOff>
                  </from>
                  <to>
                    <xdr:col>9</xdr:col>
                    <xdr:colOff>590550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Draw_EFF">
                <anchor moveWithCells="1" sizeWithCells="1">
                  <from>
                    <xdr:col>11</xdr:col>
                    <xdr:colOff>457200</xdr:colOff>
                    <xdr:row>2</xdr:row>
                    <xdr:rowOff>120650</xdr:rowOff>
                  </from>
                  <to>
                    <xdr:col>14</xdr:col>
                    <xdr:colOff>457200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Find_Port">
                <anchor moveWithCells="1" sizeWithCells="1">
                  <from>
                    <xdr:col>6</xdr:col>
                    <xdr:colOff>50800</xdr:colOff>
                    <xdr:row>23</xdr:row>
                    <xdr:rowOff>158750</xdr:rowOff>
                  </from>
                  <to>
                    <xdr:col>7</xdr:col>
                    <xdr:colOff>425450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E9254-3C1C-4D7B-BC7D-9DB2562810FA}">
  <sheetPr codeName="Sheet5"/>
  <dimension ref="B2:C9"/>
  <sheetViews>
    <sheetView workbookViewId="0">
      <selection activeCell="H24" sqref="H24"/>
    </sheetView>
  </sheetViews>
  <sheetFormatPr defaultRowHeight="14.5" x14ac:dyDescent="0.35"/>
  <cols>
    <col min="3" max="3" width="12.7265625" bestFit="1" customWidth="1"/>
  </cols>
  <sheetData>
    <row r="2" spans="2:3" x14ac:dyDescent="0.35">
      <c r="B2" t="s">
        <v>13</v>
      </c>
      <c r="C2" s="11">
        <v>100</v>
      </c>
    </row>
    <row r="3" spans="2:3" x14ac:dyDescent="0.35">
      <c r="B3" t="str" cm="1">
        <f t="array" aca="1" ref="B3:B4" ca="1">TRANSPOSE(('Stock Infos'!B4):OFFSET(('Stock Infos'!B4),0,'Stock Infos'!B1-1))</f>
        <v>Stock Names</v>
      </c>
      <c r="C3" s="9" cm="1">
        <f t="array" aca="1" ref="C3:C4" ca="1">-TRANSPOSE('Portfolio Info'!C1:OFFSET('Portfolio Info'!C1,0,No_Stock-1))*C2</f>
        <v>-50.000049999999995</v>
      </c>
    </row>
    <row r="4" spans="2:3" x14ac:dyDescent="0.35">
      <c r="B4">
        <f ca="1"/>
        <v>0</v>
      </c>
      <c r="C4" s="9">
        <f ca="1"/>
        <v>-50.000049999999995</v>
      </c>
    </row>
    <row r="5" spans="2:3" x14ac:dyDescent="0.35">
      <c r="C5" s="9"/>
    </row>
    <row r="6" spans="2:3" x14ac:dyDescent="0.35">
      <c r="C6" s="9"/>
    </row>
    <row r="7" spans="2:3" x14ac:dyDescent="0.35">
      <c r="C7" s="9"/>
    </row>
    <row r="8" spans="2:3" x14ac:dyDescent="0.35">
      <c r="C8" s="9"/>
    </row>
    <row r="9" spans="2:3" x14ac:dyDescent="0.35">
      <c r="C9" s="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ddc784a-a62f-4439-9a03-7e0bbdd982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6507BEF41B84C499D725539568F4F18" ma:contentTypeVersion="15" ma:contentTypeDescription="Create a new document." ma:contentTypeScope="" ma:versionID="d7a2ed6ad373552dbda09aa884c07711">
  <xsd:schema xmlns:xsd="http://www.w3.org/2001/XMLSchema" xmlns:xs="http://www.w3.org/2001/XMLSchema" xmlns:p="http://schemas.microsoft.com/office/2006/metadata/properties" xmlns:ns3="cddc784a-a62f-4439-9a03-7e0bbdd98217" xmlns:ns4="2bcfb9cd-b5d3-4786-b58b-a5d8895c7b87" targetNamespace="http://schemas.microsoft.com/office/2006/metadata/properties" ma:root="true" ma:fieldsID="6f3efd238081671ae101441883847bfa" ns3:_="" ns4:_="">
    <xsd:import namespace="cddc784a-a62f-4439-9a03-7e0bbdd98217"/>
    <xsd:import namespace="2bcfb9cd-b5d3-4786-b58b-a5d8895c7b8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dc784a-a62f-4439-9a03-7e0bbdd9821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cfb9cd-b5d3-4786-b58b-a5d8895c7b8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98F3D6-A494-44B5-AFB2-6B83D9A4F978}">
  <ds:schemaRefs>
    <ds:schemaRef ds:uri="http://schemas.microsoft.com/office/2006/documentManagement/types"/>
    <ds:schemaRef ds:uri="2bcfb9cd-b5d3-4786-b58b-a5d8895c7b87"/>
    <ds:schemaRef ds:uri="http://purl.org/dc/terms/"/>
    <ds:schemaRef ds:uri="http://www.w3.org/XML/1998/namespace"/>
    <ds:schemaRef ds:uri="http://purl.org/dc/elements/1.1/"/>
    <ds:schemaRef ds:uri="cddc784a-a62f-4439-9a03-7e0bbdd98217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116D30-F6FB-474F-A446-D2447CF6E6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dc784a-a62f-4439-9a03-7e0bbdd98217"/>
    <ds:schemaRef ds:uri="2bcfb9cd-b5d3-4786-b58b-a5d8895c7b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C1850B-6B8C-4542-938D-5D4DE504F5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returns</vt:lpstr>
      <vt:lpstr>Stock Infos</vt:lpstr>
      <vt:lpstr>Correlation Matrix</vt:lpstr>
      <vt:lpstr>COv</vt:lpstr>
      <vt:lpstr>Portfolio Info</vt:lpstr>
      <vt:lpstr>Budget</vt:lpstr>
      <vt:lpstr>No_Stock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 Tekin</dc:creator>
  <cp:lastModifiedBy>Berk Tekin</cp:lastModifiedBy>
  <cp:lastPrinted>2023-11-20T23:21:43Z</cp:lastPrinted>
  <dcterms:created xsi:type="dcterms:W3CDTF">2023-11-14T02:30:56Z</dcterms:created>
  <dcterms:modified xsi:type="dcterms:W3CDTF">2024-04-17T17:56:29Z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0x01010056507BEF41B84C499D725539568F4F18</vt:lpwstr>
  </property>
</Properties>
</file>